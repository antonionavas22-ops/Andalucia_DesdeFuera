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32D8D850-F590-4AD6-B2C2-7B331B310C7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.1 PÚBLICO" sheetId="2" r:id="rId1"/>
    <sheet name="2.2 MONUMENTOS" sheetId="1" r:id="rId2"/>
    <sheet name="2.3 NATURAL" sheetId="5" r:id="rId3"/>
    <sheet name="2.4 VIAJE" sheetId="6" r:id="rId4"/>
    <sheet name="2.5 CONSUMO" sheetId="4" r:id="rId5"/>
    <sheet name="2.6 PROPIO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I19" i="4" l="1"/>
  <c r="CK19" i="4"/>
  <c r="CJ19" i="4"/>
  <c r="BF19" i="4"/>
  <c r="AS19" i="4"/>
  <c r="CH19" i="4"/>
  <c r="X19" i="4"/>
  <c r="CE19" i="4"/>
  <c r="CF19" i="4"/>
  <c r="AB19" i="4"/>
  <c r="Q19" i="4"/>
  <c r="BU19" i="4"/>
  <c r="BJ19" i="4"/>
  <c r="BV19" i="4"/>
  <c r="BX19" i="4"/>
  <c r="BW19" i="4"/>
  <c r="BK19" i="4"/>
  <c r="BB19" i="4"/>
  <c r="AE19" i="6" l="1"/>
  <c r="AC19" i="6"/>
  <c r="V19" i="6"/>
  <c r="Y19" i="6"/>
  <c r="U19" i="6"/>
  <c r="Q19" i="6"/>
  <c r="X19" i="7"/>
  <c r="W19" i="7"/>
  <c r="V19" i="7"/>
  <c r="U19" i="7"/>
  <c r="T19" i="7"/>
  <c r="S19" i="7"/>
  <c r="R19" i="7"/>
  <c r="Q19" i="7"/>
  <c r="O19" i="7"/>
  <c r="P19" i="7"/>
  <c r="N19" i="7"/>
  <c r="M19" i="7"/>
  <c r="L19" i="7"/>
  <c r="J19" i="7"/>
  <c r="I19" i="7"/>
  <c r="H19" i="7"/>
  <c r="G19" i="7"/>
  <c r="F19" i="7"/>
  <c r="AH19" i="5"/>
  <c r="AQ19" i="2" l="1"/>
  <c r="AU19" i="2" l="1"/>
  <c r="AB19" i="2"/>
  <c r="BB19" i="2"/>
  <c r="Y19" i="2"/>
  <c r="AN19" i="2"/>
  <c r="AI19" i="1"/>
  <c r="BF19" i="1"/>
  <c r="V19" i="1"/>
  <c r="AF19" i="6" l="1"/>
  <c r="G19" i="5"/>
  <c r="F19" i="5"/>
  <c r="G19" i="6"/>
  <c r="F19" i="6"/>
  <c r="CG19" i="4"/>
  <c r="CB19" i="4"/>
  <c r="CD19" i="4"/>
  <c r="BL19" i="4"/>
  <c r="BI19" i="4"/>
  <c r="AP19" i="4"/>
  <c r="U19" i="4"/>
  <c r="H19" i="4"/>
  <c r="G19" i="4"/>
  <c r="F19" i="4"/>
  <c r="G19" i="2"/>
  <c r="F19" i="2"/>
  <c r="F19" i="1"/>
  <c r="G19" i="1"/>
  <c r="BA19" i="2"/>
  <c r="AZ19" i="2"/>
  <c r="AY19" i="2"/>
  <c r="BH19" i="2"/>
  <c r="BG19" i="2"/>
  <c r="BF19" i="2"/>
  <c r="BI19" i="2"/>
  <c r="AM19" i="2"/>
  <c r="R19" i="2"/>
  <c r="Q19" i="2"/>
  <c r="AR19" i="1"/>
  <c r="Z19" i="5"/>
  <c r="Y19" i="5"/>
  <c r="AG19" i="6"/>
  <c r="AD19" i="6"/>
  <c r="AB19" i="6"/>
  <c r="AA19" i="6"/>
  <c r="Z19" i="6"/>
  <c r="X19" i="6"/>
  <c r="W19" i="6"/>
  <c r="S19" i="6"/>
  <c r="R19" i="6"/>
  <c r="P19" i="6"/>
  <c r="O19" i="6"/>
  <c r="N19" i="6"/>
  <c r="M19" i="6"/>
  <c r="L19" i="6"/>
  <c r="K19" i="6"/>
  <c r="J19" i="6"/>
  <c r="I19" i="6"/>
  <c r="W19" i="1"/>
  <c r="O19" i="1"/>
  <c r="BD19" i="1"/>
  <c r="BC19" i="1"/>
  <c r="BA19" i="1"/>
  <c r="AZ19" i="1"/>
  <c r="AO19" i="1"/>
  <c r="AP19" i="1"/>
  <c r="AN19" i="1"/>
  <c r="S19" i="1"/>
  <c r="U19" i="1"/>
  <c r="T19" i="1"/>
  <c r="Q19" i="1"/>
  <c r="R19" i="1"/>
  <c r="L19" i="1"/>
  <c r="M19" i="1"/>
  <c r="J19" i="1"/>
  <c r="K19" i="1"/>
  <c r="AG19" i="5"/>
  <c r="AC19" i="5"/>
  <c r="V19" i="5"/>
  <c r="W19" i="5"/>
  <c r="CA19" i="4"/>
  <c r="BQ19" i="4"/>
  <c r="BP19" i="4"/>
  <c r="BO19" i="4"/>
  <c r="AR19" i="4"/>
  <c r="T19" i="4"/>
  <c r="P19" i="4"/>
  <c r="R19" i="4"/>
  <c r="CC19" i="4"/>
  <c r="BT19" i="4"/>
  <c r="BS19" i="4"/>
  <c r="BN19" i="4"/>
  <c r="BM19" i="4"/>
  <c r="BG19" i="4"/>
  <c r="BE19" i="4"/>
  <c r="BD19" i="4"/>
  <c r="BC19" i="4"/>
  <c r="BA19" i="4"/>
  <c r="AZ19" i="4"/>
  <c r="AY19" i="4"/>
  <c r="AX19" i="4"/>
  <c r="AW19" i="4"/>
  <c r="AV19" i="4"/>
  <c r="AU19" i="4"/>
  <c r="AT19" i="4"/>
  <c r="AQ19" i="4"/>
  <c r="AH19" i="4"/>
  <c r="AF19" i="4"/>
  <c r="AE19" i="4"/>
  <c r="AD19" i="4"/>
  <c r="AC19" i="4"/>
  <c r="Z19" i="4"/>
  <c r="Y19" i="4"/>
  <c r="W19" i="4"/>
  <c r="V19" i="4"/>
  <c r="CL19" i="4"/>
  <c r="BY19" i="4"/>
  <c r="N19" i="4"/>
  <c r="M19" i="4"/>
  <c r="BZ19" i="4"/>
  <c r="BR19" i="4"/>
  <c r="S19" i="4"/>
  <c r="O19" i="4"/>
  <c r="L19" i="4"/>
  <c r="K19" i="4"/>
  <c r="J19" i="4"/>
  <c r="AK19" i="5"/>
  <c r="AF19" i="5"/>
  <c r="AE19" i="5"/>
  <c r="AD19" i="5"/>
  <c r="AB19" i="5"/>
  <c r="AA19" i="5"/>
  <c r="X19" i="5"/>
  <c r="O19" i="5"/>
  <c r="P19" i="5"/>
  <c r="AI19" i="5"/>
  <c r="AJ19" i="5"/>
  <c r="I19" i="5"/>
  <c r="J19" i="5"/>
  <c r="K19" i="5"/>
  <c r="L19" i="5"/>
  <c r="M19" i="5"/>
  <c r="N19" i="5"/>
  <c r="Q19" i="5"/>
  <c r="R19" i="5"/>
  <c r="S19" i="5"/>
  <c r="T19" i="5"/>
  <c r="BJ19" i="2"/>
  <c r="N19" i="2"/>
  <c r="O19" i="2"/>
  <c r="J19" i="2"/>
  <c r="BT19" i="2"/>
  <c r="BN19" i="2"/>
  <c r="BL19" i="2"/>
  <c r="I19" i="2"/>
  <c r="AG19" i="2"/>
  <c r="BC19" i="2"/>
  <c r="BR19" i="2"/>
  <c r="K19" i="2"/>
  <c r="M19" i="2"/>
  <c r="L19" i="2"/>
  <c r="X19" i="2"/>
  <c r="U19" i="2"/>
  <c r="W19" i="2"/>
  <c r="V19" i="2"/>
  <c r="Z19" i="2"/>
  <c r="AA19" i="2"/>
  <c r="AC19" i="2"/>
  <c r="AI19" i="2"/>
  <c r="AJ19" i="2"/>
  <c r="S19" i="2"/>
  <c r="AD19" i="2"/>
  <c r="AF19" i="2"/>
  <c r="AE19" i="2"/>
  <c r="AH19" i="2"/>
  <c r="AL19" i="2"/>
  <c r="AK19" i="2"/>
  <c r="AS19" i="2"/>
  <c r="AT19" i="2"/>
  <c r="AV19" i="2"/>
  <c r="AO19" i="2"/>
  <c r="AP19" i="2"/>
  <c r="AR19" i="2"/>
  <c r="AW19" i="2"/>
  <c r="AX19" i="2"/>
  <c r="BD19" i="2"/>
  <c r="BE19" i="2"/>
  <c r="BK19" i="2"/>
  <c r="BM19" i="2"/>
  <c r="BO19" i="2"/>
  <c r="BP19" i="2"/>
  <c r="BQ19" i="2"/>
  <c r="BS19" i="2"/>
  <c r="AU19" i="1"/>
  <c r="P19" i="1"/>
  <c r="Z19" i="1"/>
  <c r="BG19" i="1"/>
  <c r="Y19" i="1"/>
  <c r="AB19" i="1"/>
  <c r="X19" i="1"/>
  <c r="I19" i="1"/>
  <c r="BB19" i="1"/>
  <c r="AY19" i="1"/>
  <c r="AX19" i="1"/>
  <c r="AW19" i="1"/>
  <c r="AV19" i="1"/>
  <c r="AT19" i="1"/>
  <c r="AS19" i="1"/>
  <c r="AQ19" i="1"/>
  <c r="AM19" i="1"/>
  <c r="AL19" i="1"/>
  <c r="AK19" i="1"/>
  <c r="AJ19" i="1"/>
  <c r="AH19" i="1"/>
  <c r="AG19" i="1"/>
  <c r="AF19" i="1"/>
  <c r="AE19" i="1"/>
  <c r="AD19" i="1"/>
  <c r="BE19" i="1"/>
  <c r="T19" i="2"/>
  <c r="AM19" i="5"/>
  <c r="AL19" i="5"/>
</calcChain>
</file>

<file path=xl/sharedStrings.xml><?xml version="1.0" encoding="utf-8"?>
<sst xmlns="http://schemas.openxmlformats.org/spreadsheetml/2006/main" count="962" uniqueCount="483">
  <si>
    <t>RELATOS DE VIAJES ANGLOSAJONES (1900-1914)</t>
  </si>
  <si>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</si>
  <si>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</si>
  <si>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</si>
  <si>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</si>
  <si>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</si>
  <si>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</si>
  <si>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</si>
  <si>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</si>
  <si>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</si>
  <si>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</si>
  <si>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</si>
  <si>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</si>
  <si>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</si>
  <si>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</si>
  <si>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</si>
  <si>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</si>
  <si>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</si>
  <si>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</si>
  <si>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</si>
  <si>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</si>
  <si>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</si>
  <si>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</si>
  <si>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</si>
  <si>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</si>
  <si>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</si>
  <si>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</si>
  <si>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</si>
  <si>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</si>
  <si>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</si>
  <si>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</si>
  <si>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</si>
  <si>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</si>
  <si>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</si>
  <si>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</si>
  <si>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</si>
  <si>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</si>
  <si>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</si>
  <si>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Torre del oro</t>
  </si>
  <si>
    <t>Alcázar</t>
  </si>
  <si>
    <t>mezquita</t>
  </si>
  <si>
    <t>barrio</t>
  </si>
  <si>
    <t>calle</t>
  </si>
  <si>
    <t>casa</t>
  </si>
  <si>
    <t>ciudad</t>
  </si>
  <si>
    <t>cortijo</t>
  </si>
  <si>
    <t>mercado</t>
  </si>
  <si>
    <t>parque</t>
  </si>
  <si>
    <t>patio</t>
  </si>
  <si>
    <t>plaza</t>
  </si>
  <si>
    <t>posada</t>
  </si>
  <si>
    <t>teatro</t>
  </si>
  <si>
    <t>mina</t>
  </si>
  <si>
    <t>aceite</t>
  </si>
  <si>
    <t>tabaco</t>
  </si>
  <si>
    <t>marismas</t>
  </si>
  <si>
    <t>rio</t>
  </si>
  <si>
    <t>Wall</t>
  </si>
  <si>
    <t>palace</t>
  </si>
  <si>
    <t>mosque</t>
  </si>
  <si>
    <t>iglesia</t>
  </si>
  <si>
    <t>Church</t>
  </si>
  <si>
    <t>churches</t>
  </si>
  <si>
    <t>Cathedral</t>
  </si>
  <si>
    <t>Walls</t>
  </si>
  <si>
    <t>Bridge</t>
  </si>
  <si>
    <t>chapel</t>
  </si>
  <si>
    <t>castles</t>
  </si>
  <si>
    <t>port</t>
  </si>
  <si>
    <t>ports</t>
  </si>
  <si>
    <t>harbour</t>
  </si>
  <si>
    <t>Ruin</t>
  </si>
  <si>
    <t>castle</t>
  </si>
  <si>
    <t>bridges</t>
  </si>
  <si>
    <t>Ruins</t>
  </si>
  <si>
    <t>sherry</t>
  </si>
  <si>
    <t>wine</t>
  </si>
  <si>
    <t>bodega</t>
  </si>
  <si>
    <t>bodegas</t>
  </si>
  <si>
    <t>bocadillo</t>
  </si>
  <si>
    <t>house</t>
  </si>
  <si>
    <t>streets</t>
  </si>
  <si>
    <t>street</t>
  </si>
  <si>
    <t>houses</t>
  </si>
  <si>
    <t>town</t>
  </si>
  <si>
    <t>theatre</t>
  </si>
  <si>
    <t>square</t>
  </si>
  <si>
    <t>court</t>
  </si>
  <si>
    <t>patios</t>
  </si>
  <si>
    <t>market</t>
  </si>
  <si>
    <t>garden</t>
  </si>
  <si>
    <t>inn</t>
  </si>
  <si>
    <t>circus</t>
  </si>
  <si>
    <t>dwelling</t>
  </si>
  <si>
    <t>towns</t>
  </si>
  <si>
    <t>parks</t>
  </si>
  <si>
    <t>dwellings</t>
  </si>
  <si>
    <t>quarter</t>
  </si>
  <si>
    <t>village</t>
  </si>
  <si>
    <t>park</t>
  </si>
  <si>
    <t>inns</t>
  </si>
  <si>
    <t>Alcazar</t>
  </si>
  <si>
    <t>Golden Tower</t>
  </si>
  <si>
    <t>COMUNES</t>
  </si>
  <si>
    <t>puerto</t>
  </si>
  <si>
    <t>capilla</t>
  </si>
  <si>
    <t>palaces</t>
  </si>
  <si>
    <t>castillo</t>
  </si>
  <si>
    <t>palacio</t>
  </si>
  <si>
    <t>cathedrals</t>
  </si>
  <si>
    <t>puente</t>
  </si>
  <si>
    <t>Rampart</t>
  </si>
  <si>
    <t>catedral</t>
  </si>
  <si>
    <t>tower of gold</t>
  </si>
  <si>
    <t>Patio  de los naranjos</t>
  </si>
  <si>
    <t>TOTALES CON VARIANTES UNIDAS</t>
  </si>
  <si>
    <t>TOTALES CON VARIANTES (SIN NEGRITA)</t>
  </si>
  <si>
    <t>albaicin</t>
  </si>
  <si>
    <t>quarters</t>
  </si>
  <si>
    <t>theatres</t>
  </si>
  <si>
    <t>courts</t>
  </si>
  <si>
    <t>courtyard</t>
  </si>
  <si>
    <t>albaycin</t>
  </si>
  <si>
    <t>villages</t>
  </si>
  <si>
    <t>circo</t>
  </si>
  <si>
    <t>farm</t>
  </si>
  <si>
    <t>jardin</t>
  </si>
  <si>
    <t>Court of the lions</t>
  </si>
  <si>
    <t>PROPIOS</t>
  </si>
  <si>
    <t>mine</t>
  </si>
  <si>
    <t>mining</t>
  </si>
  <si>
    <t>Mountain</t>
  </si>
  <si>
    <t>mountains</t>
  </si>
  <si>
    <t>montana</t>
  </si>
  <si>
    <t>river</t>
  </si>
  <si>
    <t>marisma</t>
  </si>
  <si>
    <t>Mulhacen</t>
  </si>
  <si>
    <t>Mulay Hasan</t>
  </si>
  <si>
    <t>rivers</t>
  </si>
  <si>
    <t>train</t>
  </si>
  <si>
    <t>peseta</t>
  </si>
  <si>
    <t>pesetas</t>
  </si>
  <si>
    <t>carriage</t>
  </si>
  <si>
    <t>cigarette</t>
  </si>
  <si>
    <t>horse</t>
  </si>
  <si>
    <t>horses</t>
  </si>
  <si>
    <t>mule</t>
  </si>
  <si>
    <t xml:space="preserve"> vino</t>
  </si>
  <si>
    <t>mantilla</t>
  </si>
  <si>
    <t>shawl</t>
  </si>
  <si>
    <t>shawls</t>
  </si>
  <si>
    <t>mantillas</t>
  </si>
  <si>
    <t>cigarettes</t>
  </si>
  <si>
    <t>fan</t>
  </si>
  <si>
    <t>abanicos</t>
  </si>
  <si>
    <t>carriages</t>
  </si>
  <si>
    <t>tobacco</t>
  </si>
  <si>
    <t>cafe</t>
  </si>
  <si>
    <t>oil</t>
  </si>
  <si>
    <t>trains</t>
  </si>
  <si>
    <t>coffee</t>
  </si>
  <si>
    <t>tavern</t>
  </si>
  <si>
    <t>taverns</t>
  </si>
  <si>
    <t>fonda</t>
  </si>
  <si>
    <t>garbanzos</t>
  </si>
  <si>
    <t>garbanzo</t>
  </si>
  <si>
    <t>markets</t>
  </si>
  <si>
    <t>diligence</t>
  </si>
  <si>
    <t>ox</t>
  </si>
  <si>
    <t>oxen</t>
  </si>
  <si>
    <t>mules</t>
  </si>
  <si>
    <t>velos</t>
  </si>
  <si>
    <t>veil</t>
  </si>
  <si>
    <t>railway</t>
  </si>
  <si>
    <t>railroad</t>
  </si>
  <si>
    <t>guitar</t>
  </si>
  <si>
    <t>railways</t>
  </si>
  <si>
    <t>tabacos</t>
  </si>
  <si>
    <t>fondas</t>
  </si>
  <si>
    <t>railroads</t>
  </si>
  <si>
    <t>cafés</t>
  </si>
  <si>
    <t>bocadillos</t>
  </si>
  <si>
    <t>socco</t>
  </si>
  <si>
    <t>diligences</t>
  </si>
  <si>
    <t>C</t>
  </si>
  <si>
    <t>A</t>
  </si>
  <si>
    <t>P</t>
  </si>
  <si>
    <t>I</t>
  </si>
  <si>
    <t>T</t>
  </si>
  <si>
    <t>L</t>
  </si>
  <si>
    <t>E</t>
  </si>
  <si>
    <t>S</t>
  </si>
  <si>
    <t>Con fondo oscuro las tres menciones más altas por metadato entre los 15 relatos. Más negrita, la mención más alta</t>
  </si>
  <si>
    <t>N</t>
  </si>
  <si>
    <t>R</t>
  </si>
  <si>
    <t>M</t>
  </si>
  <si>
    <t>U</t>
  </si>
  <si>
    <t>O</t>
  </si>
  <si>
    <t>B</t>
  </si>
  <si>
    <t>G</t>
  </si>
  <si>
    <t>J</t>
  </si>
  <si>
    <t>V</t>
  </si>
  <si>
    <t>D</t>
  </si>
  <si>
    <t>MANTILLA</t>
  </si>
  <si>
    <t>TABACO</t>
  </si>
  <si>
    <t>VINO</t>
  </si>
  <si>
    <t>CAFÉ</t>
  </si>
  <si>
    <t>ACEITE</t>
  </si>
  <si>
    <t>AGUARDIENTE</t>
  </si>
  <si>
    <t>GARLIC (AJO)</t>
  </si>
  <si>
    <t>GARBANZOS</t>
  </si>
  <si>
    <t>OLLA</t>
  </si>
  <si>
    <t>PUCHERO</t>
  </si>
  <si>
    <t>BOCADILLO</t>
  </si>
  <si>
    <t>TORTILLA</t>
  </si>
  <si>
    <t>MEMBRILLO</t>
  </si>
  <si>
    <t>GAZPACHO</t>
  </si>
  <si>
    <t>COCIDO</t>
  </si>
  <si>
    <t>POSADA</t>
  </si>
  <si>
    <t>MERCADO</t>
  </si>
  <si>
    <t>FONDA</t>
  </si>
  <si>
    <t>TABERNA</t>
  </si>
  <si>
    <t>BODEGA</t>
  </si>
  <si>
    <t>VENTA</t>
  </si>
  <si>
    <t>PESETAS</t>
  </si>
  <si>
    <t>GUITARRA</t>
  </si>
  <si>
    <t>ABANICO</t>
  </si>
  <si>
    <t>VELO</t>
  </si>
  <si>
    <t>CAPA</t>
  </si>
  <si>
    <t>BRASERO</t>
  </si>
  <si>
    <t>MILL (MOLINO)</t>
  </si>
  <si>
    <t>BARRENO</t>
  </si>
  <si>
    <t xml:space="preserve">TRABUCO </t>
  </si>
  <si>
    <t>ALFORJA</t>
  </si>
  <si>
    <t>TREN</t>
  </si>
  <si>
    <t>CARRUAJE</t>
  </si>
  <si>
    <t>FERROCARRIL</t>
  </si>
  <si>
    <t>DILIGENCIA</t>
  </si>
  <si>
    <t>CABALLO</t>
  </si>
  <si>
    <t>MULA</t>
  </si>
  <si>
    <t>BUEY</t>
  </si>
  <si>
    <t>GUADALQUIVIR</t>
  </si>
  <si>
    <t>SIERRA NEVADA</t>
  </si>
  <si>
    <t>SIERRA MORENA</t>
  </si>
  <si>
    <t>DARRO</t>
  </si>
  <si>
    <t>DOÑANA</t>
  </si>
  <si>
    <t>GENIL</t>
  </si>
  <si>
    <t>MULHACÉN</t>
  </si>
  <si>
    <t>DESPEÑAPERROS</t>
  </si>
  <si>
    <t>GUADALEVIN</t>
  </si>
  <si>
    <t>SIERRA BERMEJA</t>
  </si>
  <si>
    <t>GUADALETE</t>
  </si>
  <si>
    <t>MONTAÑA</t>
  </si>
  <si>
    <t>SUR</t>
  </si>
  <si>
    <t>RIO</t>
  </si>
  <si>
    <t>MINA</t>
  </si>
  <si>
    <t>MARISMAS</t>
  </si>
  <si>
    <t>MEZQUITA DE CÓRDOBA</t>
  </si>
  <si>
    <t>ALCÁZAR DE SEVILLA</t>
  </si>
  <si>
    <t>PATIO DE LOS NARANJOS</t>
  </si>
  <si>
    <t>CASA DE PILATOS</t>
  </si>
  <si>
    <t>TORRE DEL ORO</t>
  </si>
  <si>
    <t>GIBRALFARO</t>
  </si>
  <si>
    <t>ALCAZABA</t>
  </si>
  <si>
    <t>MEDINAT-AZ-AHRA</t>
  </si>
  <si>
    <t>CATEDRAL</t>
  </si>
  <si>
    <t>IGLESIA</t>
  </si>
  <si>
    <t>MURALLA</t>
  </si>
  <si>
    <t>PALACIO</t>
  </si>
  <si>
    <t>CAPILLA</t>
  </si>
  <si>
    <t>RUINA</t>
  </si>
  <si>
    <t>PUERTO</t>
  </si>
  <si>
    <t>CASTILLO</t>
  </si>
  <si>
    <t>SIERPES</t>
  </si>
  <si>
    <t>TRIANA</t>
  </si>
  <si>
    <t>ALBAICIN</t>
  </si>
  <si>
    <t>PLAZA SAN FERNANDO</t>
  </si>
  <si>
    <t>MALAGUETA</t>
  </si>
  <si>
    <t>SACROMONTE (MONTESACRO)</t>
  </si>
  <si>
    <t>CASA</t>
  </si>
  <si>
    <t>CALLE</t>
  </si>
  <si>
    <t>CIUDAD</t>
  </si>
  <si>
    <t>PATIO</t>
  </si>
  <si>
    <t>PLAZA</t>
  </si>
  <si>
    <t>PUEBLO</t>
  </si>
  <si>
    <t>BARRIO</t>
  </si>
  <si>
    <t>JARDÍN</t>
  </si>
  <si>
    <t>PARQUE</t>
  </si>
  <si>
    <t>HOSPITAL</t>
  </si>
  <si>
    <t>TEATRO</t>
  </si>
  <si>
    <t>CORTIJO</t>
  </si>
  <si>
    <t>CEMETERY</t>
  </si>
  <si>
    <t>CIRCO</t>
  </si>
  <si>
    <r>
      <t>TOTAL DE MENCIONES:</t>
    </r>
    <r>
      <rPr>
        <b/>
        <sz val="22"/>
        <color theme="1"/>
        <rFont val="Calibri"/>
        <family val="2"/>
        <scheme val="minor"/>
      </rPr>
      <t xml:space="preserve"> 1160</t>
    </r>
    <r>
      <rPr>
        <sz val="22"/>
        <color theme="1"/>
        <rFont val="Calibri"/>
        <family val="2"/>
        <scheme val="minor"/>
      </rPr>
      <t xml:space="preserve"> (de 182 metadatos):</t>
    </r>
  </si>
  <si>
    <r>
      <rPr>
        <b/>
        <sz val="22"/>
        <color theme="1"/>
        <rFont val="Calibri"/>
        <family val="2"/>
        <scheme val="minor"/>
      </rPr>
      <t xml:space="preserve"> 244 </t>
    </r>
    <r>
      <rPr>
        <sz val="22"/>
        <color theme="1"/>
        <rFont val="Calibri"/>
        <family val="2"/>
        <scheme val="minor"/>
      </rPr>
      <t xml:space="preserve">son nombres propios  (de 55 metadatos) y </t>
    </r>
    <r>
      <rPr>
        <b/>
        <sz val="22"/>
        <color theme="1"/>
        <rFont val="Calibri"/>
        <family val="2"/>
        <scheme val="minor"/>
      </rPr>
      <t xml:space="preserve">916 </t>
    </r>
    <r>
      <rPr>
        <sz val="22"/>
        <color theme="1"/>
        <rFont val="Calibri"/>
        <family val="2"/>
        <scheme val="minor"/>
      </rPr>
      <t>son comunes (de 127 metadatos)</t>
    </r>
  </si>
  <si>
    <t>ALHAMBRA</t>
  </si>
  <si>
    <t>GENERALIFE</t>
  </si>
  <si>
    <t>PATIO DE LOS LEONES</t>
  </si>
  <si>
    <t>ITALICA</t>
  </si>
  <si>
    <t xml:space="preserve">NOMBRES PROPIOS </t>
  </si>
  <si>
    <t>OLD TOWN</t>
  </si>
  <si>
    <t>pueblo</t>
  </si>
  <si>
    <t>TORO</t>
  </si>
  <si>
    <t>toros</t>
  </si>
  <si>
    <t>toro</t>
  </si>
  <si>
    <t xml:space="preserve">MEDIOS DE TRANSPORTE </t>
  </si>
  <si>
    <t>ANIMALES</t>
  </si>
  <si>
    <t>Bulls</t>
  </si>
  <si>
    <t>bull</t>
  </si>
  <si>
    <t>Plaza de toros</t>
  </si>
  <si>
    <t>bullring</t>
  </si>
  <si>
    <t>bull-ring</t>
  </si>
  <si>
    <t>plaza de toros</t>
  </si>
  <si>
    <t>tendido</t>
  </si>
  <si>
    <t>LUAGR DONDE SE PASEA</t>
  </si>
  <si>
    <t>promenade</t>
  </si>
  <si>
    <t>promenades</t>
  </si>
  <si>
    <r>
      <t>TOTAL DE MENCIONES:</t>
    </r>
    <r>
      <rPr>
        <b/>
        <sz val="12"/>
        <color theme="1"/>
        <rFont val="Calibri"/>
        <family val="2"/>
        <scheme val="minor"/>
      </rPr>
      <t xml:space="preserve"> 1160</t>
    </r>
    <r>
      <rPr>
        <sz val="12"/>
        <color theme="1"/>
        <rFont val="Calibri"/>
        <family val="2"/>
        <scheme val="minor"/>
      </rPr>
      <t xml:space="preserve"> (de 182 metadatos):</t>
    </r>
  </si>
  <si>
    <r>
      <rPr>
        <b/>
        <sz val="12"/>
        <color theme="1"/>
        <rFont val="Calibri"/>
        <family val="2"/>
        <scheme val="minor"/>
      </rPr>
      <t xml:space="preserve"> 244 </t>
    </r>
    <r>
      <rPr>
        <sz val="12"/>
        <color theme="1"/>
        <rFont val="Calibri"/>
        <family val="2"/>
        <scheme val="minor"/>
      </rPr>
      <t xml:space="preserve">son nombres propios  (de 55 metadatos) y </t>
    </r>
    <r>
      <rPr>
        <b/>
        <sz val="12"/>
        <color theme="1"/>
        <rFont val="Calibri"/>
        <family val="2"/>
        <scheme val="minor"/>
      </rPr>
      <t xml:space="preserve">916 </t>
    </r>
    <r>
      <rPr>
        <sz val="12"/>
        <color theme="1"/>
        <rFont val="Calibri"/>
        <family val="2"/>
        <scheme val="minor"/>
      </rPr>
      <t>son comunes (de 127 metadatos)</t>
    </r>
  </si>
  <si>
    <t>SEA</t>
  </si>
  <si>
    <t>COPPER</t>
  </si>
  <si>
    <t>sun</t>
  </si>
  <si>
    <t>sol</t>
  </si>
  <si>
    <t>SOL</t>
  </si>
  <si>
    <t xml:space="preserve">GIRALDA </t>
  </si>
  <si>
    <t>chapels</t>
  </si>
  <si>
    <t>city</t>
  </si>
  <si>
    <t>cities</t>
  </si>
  <si>
    <t>TOTALES MENCIONES</t>
  </si>
  <si>
    <t>casas</t>
  </si>
  <si>
    <t>paseo</t>
  </si>
  <si>
    <t>ALIMENTACIÓN</t>
  </si>
  <si>
    <t>ESTABLECIMIENTO</t>
  </si>
  <si>
    <t>OBJETOS</t>
  </si>
  <si>
    <t xml:space="preserve"> ALIMENTACIÓN </t>
  </si>
  <si>
    <t>cafes</t>
  </si>
  <si>
    <t>HOTEL</t>
  </si>
  <si>
    <t xml:space="preserve"> OBJETOS </t>
  </si>
  <si>
    <t>FUENTE</t>
  </si>
  <si>
    <t>Fountains</t>
  </si>
  <si>
    <t>fuentes</t>
  </si>
  <si>
    <t>mills</t>
  </si>
  <si>
    <t>WATER-JARS</t>
  </si>
  <si>
    <t>cloaks</t>
  </si>
  <si>
    <t>Sash</t>
  </si>
  <si>
    <t>FAJA</t>
  </si>
  <si>
    <t>PEINETA</t>
  </si>
  <si>
    <t>comb</t>
  </si>
  <si>
    <t>veils</t>
  </si>
  <si>
    <t>fountain</t>
  </si>
  <si>
    <t>guitars</t>
  </si>
  <si>
    <t>TOTALES DE MENCIONES</t>
  </si>
  <si>
    <t>TOTAL DE MENCIONES</t>
  </si>
  <si>
    <t>TRANSPORTE</t>
  </si>
  <si>
    <t>ON HORSEBACK</t>
  </si>
  <si>
    <t>donkey</t>
  </si>
  <si>
    <t>donkeys</t>
  </si>
  <si>
    <t>BURRO</t>
  </si>
  <si>
    <t>southern</t>
  </si>
  <si>
    <t>south</t>
  </si>
  <si>
    <t>RELACIÓN ENTRE PALABRAS DETECTADAS Y MENCIONES</t>
  </si>
  <si>
    <t>28 para 78</t>
  </si>
  <si>
    <t>plazas</t>
  </si>
  <si>
    <t>barrios</t>
  </si>
  <si>
    <t>12 para 21</t>
  </si>
  <si>
    <t xml:space="preserve">25 para 76 </t>
  </si>
  <si>
    <t>9 para 30</t>
  </si>
  <si>
    <t>13 para 37</t>
  </si>
  <si>
    <t>35 para 188</t>
  </si>
  <si>
    <t>17 para 33</t>
  </si>
  <si>
    <t>16 para 57</t>
  </si>
  <si>
    <t>16 para 164</t>
  </si>
  <si>
    <t>11 para 59</t>
  </si>
  <si>
    <t>32 para 215</t>
  </si>
  <si>
    <t>24 para 116</t>
  </si>
  <si>
    <t>12 para 187</t>
  </si>
  <si>
    <t>13 para 137</t>
  </si>
  <si>
    <t>37 para 310</t>
  </si>
  <si>
    <t>44 para 183</t>
  </si>
  <si>
    <t>17 para 170</t>
  </si>
  <si>
    <t>13 para 136</t>
  </si>
  <si>
    <t>35 para 440</t>
  </si>
  <si>
    <t>20 para 55</t>
  </si>
  <si>
    <t>21 para 131</t>
  </si>
  <si>
    <t>40 para 308</t>
  </si>
  <si>
    <t>39 para 132</t>
  </si>
  <si>
    <t>16 para 92</t>
  </si>
  <si>
    <t>12 para 89</t>
  </si>
  <si>
    <t>27 para 149</t>
  </si>
  <si>
    <t>15 para 48</t>
  </si>
  <si>
    <t>12 para 43</t>
  </si>
  <si>
    <t>11 para 36</t>
  </si>
  <si>
    <t>31 para 181</t>
  </si>
  <si>
    <t>30 para 155</t>
  </si>
  <si>
    <t>15 para 27</t>
  </si>
  <si>
    <t>8 para 12</t>
  </si>
  <si>
    <t>15 para 83</t>
  </si>
  <si>
    <t>13 para 32</t>
  </si>
  <si>
    <t>24 para 85</t>
  </si>
  <si>
    <t>26 para 38</t>
  </si>
  <si>
    <t>17 para 141</t>
  </si>
  <si>
    <t>21 para 282</t>
  </si>
  <si>
    <t>19 para 135</t>
  </si>
  <si>
    <t>26 para 161</t>
  </si>
  <si>
    <t>19 para 30</t>
  </si>
  <si>
    <t>10 para 20</t>
  </si>
  <si>
    <t>10 para 33</t>
  </si>
  <si>
    <t>14 para 45</t>
  </si>
  <si>
    <t>33 para 187</t>
  </si>
  <si>
    <t>33 para 109</t>
  </si>
  <si>
    <t>18 para 90</t>
  </si>
  <si>
    <t>19 para 72</t>
  </si>
  <si>
    <t>18 para 61</t>
  </si>
  <si>
    <t>34 para 143</t>
  </si>
  <si>
    <t>36 para 82</t>
  </si>
  <si>
    <t>19 para 73</t>
  </si>
  <si>
    <t>9 para 22</t>
  </si>
  <si>
    <t>37 para 389</t>
  </si>
  <si>
    <t>35 para 167</t>
  </si>
  <si>
    <t>14 para 107</t>
  </si>
  <si>
    <t>22 para 148</t>
  </si>
  <si>
    <t>31 para 179</t>
  </si>
  <si>
    <t>22 para 76</t>
  </si>
  <si>
    <t>15 para 122</t>
  </si>
  <si>
    <t>9 para 66</t>
  </si>
  <si>
    <t>court of lions</t>
  </si>
  <si>
    <t>BRIDGE OF CALAHORRA</t>
  </si>
  <si>
    <t>26 para 187</t>
  </si>
  <si>
    <t>24  para 137</t>
  </si>
  <si>
    <t>CLAUSTRO</t>
  </si>
  <si>
    <t>Cloister</t>
  </si>
  <si>
    <t>cloisters</t>
  </si>
  <si>
    <t>iglesias</t>
  </si>
  <si>
    <t>39 para 458</t>
  </si>
  <si>
    <t>24 para 202</t>
  </si>
  <si>
    <t>PUENTE</t>
  </si>
  <si>
    <t>Court of oranges</t>
  </si>
  <si>
    <t>29 para 281</t>
  </si>
  <si>
    <t>Con fondo oscuro las tres menciones más altas por palabra entre los 15 relatos. Más negrita, la mención más alta</t>
  </si>
  <si>
    <t>paseos</t>
  </si>
  <si>
    <t>calles</t>
  </si>
  <si>
    <t>pueblos</t>
  </si>
  <si>
    <t>37 palabras para 222 menciones</t>
  </si>
  <si>
    <t>27 palabras para 181 menciones</t>
  </si>
  <si>
    <t>media de 22 palabras por relato para 2259 menciones</t>
  </si>
  <si>
    <t>Media de 32 palabras  por relato para un total de 3209 menciones</t>
  </si>
  <si>
    <t>CIUDAD "GRANDE"</t>
  </si>
  <si>
    <t>squares</t>
  </si>
  <si>
    <t>GAOL</t>
  </si>
  <si>
    <t>15 palabras para 68 menciones</t>
  </si>
  <si>
    <t>mines</t>
  </si>
  <si>
    <t>Media de 14 palabras por relato para un total de 1456 menciones</t>
  </si>
  <si>
    <t>MONUMENTOS</t>
  </si>
  <si>
    <t>ESPACIO NATURAL</t>
  </si>
  <si>
    <t>ESPACIO PÚBLICO</t>
  </si>
  <si>
    <t>MONUMENTO</t>
  </si>
  <si>
    <t>18 palabras para 114 menciones</t>
  </si>
  <si>
    <t>burro</t>
  </si>
  <si>
    <t xml:space="preserve">media de 15 palabras por relato para un total de 1359 menciones </t>
  </si>
  <si>
    <t>37 palabras para 118 menciones</t>
  </si>
  <si>
    <t>tabernas</t>
  </si>
  <si>
    <t>fuente</t>
  </si>
  <si>
    <t>cloak</t>
  </si>
  <si>
    <t>capa</t>
  </si>
  <si>
    <t>guitarras</t>
  </si>
  <si>
    <t>wines</t>
  </si>
  <si>
    <t>UVA</t>
  </si>
  <si>
    <t>grapes</t>
  </si>
  <si>
    <t>grape</t>
  </si>
  <si>
    <t>molinos</t>
  </si>
  <si>
    <t>cigarillo</t>
  </si>
  <si>
    <t>mill</t>
  </si>
  <si>
    <t>combs</t>
  </si>
  <si>
    <t>café</t>
  </si>
  <si>
    <t>hair comb</t>
  </si>
  <si>
    <t>alforjas</t>
  </si>
  <si>
    <t>posadas</t>
  </si>
  <si>
    <t>ventas</t>
  </si>
  <si>
    <t>red sash</t>
  </si>
  <si>
    <t>Media de 27 palabras por relato par in total de 1290 menciones</t>
  </si>
  <si>
    <t xml:space="preserve"> ESTABLECIMIENTOS</t>
  </si>
  <si>
    <t>venta</t>
  </si>
  <si>
    <t>alforja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</si>
</sst>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ck">
        <color indexed="64"/>
      </top>
      <bottom/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DashDotDot">
        <color indexed="64"/>
      </left>
      <right/>
      <top style="thin">
        <color indexed="64"/>
      </top>
      <bottom style="thick">
        <color indexed="64"/>
      </bottom>
      <diagonal/>
    </border>
    <border>
      <left style="mediumDashDotDot">
        <color indexed="64"/>
      </left>
      <right/>
      <top/>
      <bottom style="thin">
        <color indexed="64"/>
      </bottom>
      <diagonal/>
    </border>
    <border>
      <left style="mediumDashDotDot">
        <color indexed="64"/>
      </left>
      <right/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DashDotDot">
        <color indexed="64"/>
      </left>
      <right/>
      <top style="thick">
        <color indexed="64"/>
      </top>
      <bottom style="thin">
        <color indexed="64"/>
      </bottom>
      <diagonal/>
    </border>
    <border>
      <left style="mediumDashDotDot">
        <color indexed="64"/>
      </left>
      <right/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 style="thick">
        <color indexed="64"/>
      </top>
      <bottom/>
      <diagonal/>
    </border>
    <border>
      <left style="mediumDashDotDot">
        <color indexed="64"/>
      </left>
      <right style="thick">
        <color indexed="64"/>
      </right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/>
      <diagonal/>
    </border>
    <border>
      <left style="mediumDashDotDot">
        <color indexed="64"/>
      </left>
      <right/>
      <top style="thick">
        <color indexed="64"/>
      </top>
      <bottom/>
      <diagonal/>
    </border>
    <border>
      <left style="mediumDashDotDot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6" borderId="0" xfId="0" applyFill="1"/>
    <xf numFmtId="0" fontId="3" fillId="0" borderId="7" xfId="0" applyFont="1" applyBorder="1" applyAlignment="1">
      <alignment horizontal="center" vertical="center" wrapText="1"/>
    </xf>
    <xf numFmtId="0" fontId="0" fillId="0" borderId="39" xfId="0" applyBorder="1"/>
    <xf numFmtId="0" fontId="2" fillId="0" borderId="49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0" fillId="0" borderId="16" xfId="0" applyBorder="1"/>
    <xf numFmtId="0" fontId="9" fillId="0" borderId="2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2" fillId="7" borderId="38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3" fillId="7" borderId="39" xfId="0" applyFont="1" applyFill="1" applyBorder="1"/>
    <xf numFmtId="0" fontId="15" fillId="7" borderId="60" xfId="1" applyFont="1" applyFill="1" applyBorder="1" applyAlignment="1">
      <alignment horizontal="center" vertical="center" wrapText="1"/>
    </xf>
    <xf numFmtId="0" fontId="0" fillId="7" borderId="0" xfId="0" applyFill="1"/>
    <xf numFmtId="0" fontId="2" fillId="7" borderId="47" xfId="0" applyFont="1" applyFill="1" applyBorder="1" applyAlignment="1">
      <alignment horizontal="center" vertical="center" wrapText="1"/>
    </xf>
    <xf numFmtId="0" fontId="11" fillId="0" borderId="0" xfId="0" applyFont="1"/>
    <xf numFmtId="0" fontId="2" fillId="7" borderId="42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54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0" fontId="0" fillId="0" borderId="24" xfId="0" applyBorder="1"/>
    <xf numFmtId="0" fontId="18" fillId="7" borderId="6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7" borderId="63" xfId="0" applyFont="1" applyFill="1" applyBorder="1" applyAlignment="1">
      <alignment horizontal="center" vertical="center" wrapText="1"/>
    </xf>
    <xf numFmtId="0" fontId="0" fillId="7" borderId="63" xfId="0" applyFill="1" applyBorder="1"/>
    <xf numFmtId="0" fontId="16" fillId="0" borderId="24" xfId="0" applyFont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9" fillId="0" borderId="69" xfId="1" applyFont="1" applyFill="1" applyBorder="1" applyAlignment="1">
      <alignment horizontal="center" vertical="center" wrapText="1"/>
    </xf>
    <xf numFmtId="0" fontId="10" fillId="3" borderId="69" xfId="0" applyFont="1" applyFill="1" applyBorder="1" applyAlignment="1">
      <alignment horizontal="center"/>
    </xf>
    <xf numFmtId="0" fontId="10" fillId="3" borderId="47" xfId="0" applyFont="1" applyFill="1" applyBorder="1" applyAlignment="1">
      <alignment horizontal="center"/>
    </xf>
    <xf numFmtId="0" fontId="10" fillId="3" borderId="58" xfId="0" applyFont="1" applyFill="1" applyBorder="1" applyAlignment="1">
      <alignment horizontal="center"/>
    </xf>
    <xf numFmtId="0" fontId="3" fillId="0" borderId="68" xfId="0" applyFont="1" applyBorder="1" applyAlignment="1">
      <alignment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/>
    </xf>
    <xf numFmtId="0" fontId="2" fillId="0" borderId="4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2" fillId="0" borderId="0" xfId="0" applyFont="1"/>
    <xf numFmtId="0" fontId="2" fillId="0" borderId="50" xfId="0" applyFont="1" applyBorder="1" applyAlignment="1">
      <alignment horizontal="center" vertical="center" wrapText="1"/>
    </xf>
    <xf numFmtId="0" fontId="2" fillId="0" borderId="35" xfId="0" applyFont="1" applyBorder="1" applyAlignment="1">
      <alignment vertical="center" wrapText="1"/>
    </xf>
    <xf numFmtId="0" fontId="2" fillId="7" borderId="35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22" fillId="0" borderId="24" xfId="0" applyFont="1" applyBorder="1"/>
    <xf numFmtId="0" fontId="22" fillId="0" borderId="0" xfId="0" applyFont="1"/>
    <xf numFmtId="0" fontId="14" fillId="7" borderId="54" xfId="0" applyFont="1" applyFill="1" applyBorder="1" applyAlignment="1">
      <alignment horizontal="center" vertical="center"/>
    </xf>
    <xf numFmtId="0" fontId="14" fillId="7" borderId="42" xfId="0" applyFont="1" applyFill="1" applyBorder="1" applyAlignment="1">
      <alignment horizontal="center" vertical="center"/>
    </xf>
    <xf numFmtId="0" fontId="2" fillId="7" borderId="51" xfId="0" applyFont="1" applyFill="1" applyBorder="1" applyAlignment="1">
      <alignment horizontal="center" vertical="center"/>
    </xf>
    <xf numFmtId="0" fontId="2" fillId="7" borderId="77" xfId="0" applyFont="1" applyFill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77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9" fillId="0" borderId="80" xfId="0" applyFont="1" applyBorder="1" applyAlignment="1">
      <alignment horizontal="center" vertical="center" wrapText="1"/>
    </xf>
    <xf numFmtId="0" fontId="16" fillId="7" borderId="5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9" fillId="0" borderId="52" xfId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center" vertical="center" wrapText="1"/>
    </xf>
    <xf numFmtId="0" fontId="9" fillId="0" borderId="21" xfId="1" applyFont="1" applyFill="1" applyBorder="1" applyAlignment="1">
      <alignment horizontal="center" vertical="center" wrapText="1"/>
    </xf>
    <xf numFmtId="0" fontId="9" fillId="0" borderId="28" xfId="1" applyFont="1" applyFill="1" applyBorder="1" applyAlignment="1">
      <alignment horizontal="center"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29" xfId="1" applyFont="1" applyFill="1" applyBorder="1" applyAlignment="1">
      <alignment horizontal="center" vertical="center" wrapText="1"/>
    </xf>
    <xf numFmtId="0" fontId="9" fillId="0" borderId="20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horizontal="center" vertical="center" wrapText="1"/>
    </xf>
    <xf numFmtId="0" fontId="9" fillId="0" borderId="14" xfId="1" applyFont="1" applyFill="1" applyBorder="1" applyAlignment="1">
      <alignment horizontal="center" vertical="center" wrapText="1"/>
    </xf>
    <xf numFmtId="0" fontId="9" fillId="0" borderId="16" xfId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9" fillId="0" borderId="19" xfId="1" applyFont="1" applyFill="1" applyBorder="1" applyAlignment="1">
      <alignment horizontal="center" vertical="center" wrapText="1"/>
    </xf>
    <xf numFmtId="0" fontId="9" fillId="0" borderId="12" xfId="1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15" xfId="1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9" fillId="0" borderId="58" xfId="1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8" borderId="27" xfId="1" applyFont="1" applyFill="1" applyBorder="1" applyAlignment="1">
      <alignment horizontal="center" vertical="center" wrapText="1"/>
    </xf>
    <xf numFmtId="0" fontId="9" fillId="8" borderId="38" xfId="1" applyFont="1" applyFill="1" applyBorder="1" applyAlignment="1">
      <alignment horizontal="center" vertical="center" wrapText="1"/>
    </xf>
    <xf numFmtId="0" fontId="9" fillId="8" borderId="58" xfId="1" applyFont="1" applyFill="1" applyBorder="1" applyAlignment="1">
      <alignment horizontal="center" vertical="center" wrapText="1"/>
    </xf>
    <xf numFmtId="0" fontId="9" fillId="0" borderId="46" xfId="0" applyFont="1" applyBorder="1" applyAlignment="1">
      <alignment vertical="center" wrapText="1"/>
    </xf>
    <xf numFmtId="0" fontId="14" fillId="7" borderId="51" xfId="0" applyFont="1" applyFill="1" applyBorder="1" applyAlignment="1">
      <alignment horizontal="center" vertical="center"/>
    </xf>
    <xf numFmtId="0" fontId="9" fillId="5" borderId="23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3" fillId="5" borderId="23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9" fillId="5" borderId="58" xfId="1" applyFont="1" applyFill="1" applyBorder="1" applyAlignment="1">
      <alignment horizontal="center" vertical="center" wrapText="1"/>
    </xf>
    <xf numFmtId="0" fontId="9" fillId="5" borderId="19" xfId="1" applyFont="1" applyFill="1" applyBorder="1" applyAlignment="1">
      <alignment horizontal="center" vertical="center" wrapText="1"/>
    </xf>
    <xf numFmtId="0" fontId="9" fillId="5" borderId="27" xfId="1" applyFont="1" applyFill="1" applyBorder="1" applyAlignment="1">
      <alignment horizontal="center" vertical="center" wrapText="1"/>
    </xf>
    <xf numFmtId="0" fontId="9" fillId="5" borderId="28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22" xfId="1" applyFont="1" applyFill="1" applyBorder="1" applyAlignment="1">
      <alignment horizontal="center" vertical="center" wrapText="1"/>
    </xf>
    <xf numFmtId="0" fontId="9" fillId="5" borderId="69" xfId="1" applyFont="1" applyFill="1" applyBorder="1" applyAlignment="1">
      <alignment horizontal="center" vertical="center" wrapText="1"/>
    </xf>
    <xf numFmtId="0" fontId="23" fillId="5" borderId="38" xfId="1" applyFont="1" applyFill="1" applyBorder="1" applyAlignment="1">
      <alignment horizontal="center" vertical="center" wrapText="1"/>
    </xf>
    <xf numFmtId="0" fontId="23" fillId="5" borderId="23" xfId="1" applyFont="1" applyFill="1" applyBorder="1" applyAlignment="1">
      <alignment horizontal="center" vertical="center" wrapText="1"/>
    </xf>
    <xf numFmtId="0" fontId="23" fillId="5" borderId="29" xfId="1" applyFont="1" applyFill="1" applyBorder="1" applyAlignment="1">
      <alignment horizontal="center" vertical="center" wrapText="1"/>
    </xf>
    <xf numFmtId="0" fontId="23" fillId="5" borderId="16" xfId="1" applyFont="1" applyFill="1" applyBorder="1" applyAlignment="1">
      <alignment horizontal="center" vertical="center" wrapText="1"/>
    </xf>
    <xf numFmtId="0" fontId="23" fillId="5" borderId="1" xfId="1" applyFont="1" applyFill="1" applyBorder="1" applyAlignment="1">
      <alignment horizontal="center" vertical="center" wrapText="1"/>
    </xf>
    <xf numFmtId="0" fontId="23" fillId="5" borderId="27" xfId="1" applyFont="1" applyFill="1" applyBorder="1" applyAlignment="1">
      <alignment horizontal="center" vertical="center" wrapText="1"/>
    </xf>
    <xf numFmtId="0" fontId="23" fillId="5" borderId="21" xfId="1" applyFont="1" applyFill="1" applyBorder="1" applyAlignment="1">
      <alignment horizontal="center" vertical="center" wrapText="1"/>
    </xf>
    <xf numFmtId="0" fontId="24" fillId="0" borderId="23" xfId="1" applyFont="1" applyFill="1" applyBorder="1" applyAlignment="1">
      <alignment horizontal="center" vertical="center" wrapText="1"/>
    </xf>
    <xf numFmtId="0" fontId="23" fillId="5" borderId="22" xfId="1" applyFont="1" applyFill="1" applyBorder="1" applyAlignment="1">
      <alignment horizontal="center" vertical="center" wrapText="1"/>
    </xf>
    <xf numFmtId="0" fontId="24" fillId="0" borderId="8" xfId="1" applyFont="1" applyFill="1" applyBorder="1" applyAlignment="1">
      <alignment horizontal="center" vertical="center" wrapText="1"/>
    </xf>
    <xf numFmtId="0" fontId="23" fillId="5" borderId="3" xfId="1" applyFont="1" applyFill="1" applyBorder="1" applyAlignment="1">
      <alignment horizontal="center" vertical="center" wrapText="1"/>
    </xf>
    <xf numFmtId="0" fontId="23" fillId="8" borderId="27" xfId="1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3" fillId="8" borderId="58" xfId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4" borderId="35" xfId="0" applyFont="1" applyFill="1" applyBorder="1" applyAlignment="1">
      <alignment vertical="center"/>
    </xf>
    <xf numFmtId="0" fontId="10" fillId="4" borderId="39" xfId="0" applyFont="1" applyFill="1" applyBorder="1" applyAlignment="1">
      <alignment vertical="center"/>
    </xf>
    <xf numFmtId="0" fontId="9" fillId="0" borderId="32" xfId="0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25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1" fillId="5" borderId="28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23" fillId="5" borderId="11" xfId="1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" fillId="5" borderId="36" xfId="0" applyFont="1" applyFill="1" applyBorder="1" applyAlignment="1">
      <alignment horizontal="center" vertical="center" wrapText="1"/>
    </xf>
    <xf numFmtId="0" fontId="21" fillId="5" borderId="5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/>
    </xf>
    <xf numFmtId="0" fontId="2" fillId="5" borderId="58" xfId="0" applyFont="1" applyFill="1" applyBorder="1" applyAlignment="1">
      <alignment horizontal="center" vertical="center"/>
    </xf>
    <xf numFmtId="0" fontId="23" fillId="5" borderId="7" xfId="1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5" borderId="69" xfId="0" applyFont="1" applyFill="1" applyBorder="1" applyAlignment="1">
      <alignment horizontal="center" vertical="center"/>
    </xf>
    <xf numFmtId="0" fontId="21" fillId="5" borderId="69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24" fillId="0" borderId="12" xfId="1" applyFont="1" applyFill="1" applyBorder="1" applyAlignment="1">
      <alignment horizontal="center" vertical="center" wrapText="1"/>
    </xf>
    <xf numFmtId="0" fontId="23" fillId="5" borderId="13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 wrapText="1"/>
    </xf>
    <xf numFmtId="0" fontId="9" fillId="5" borderId="52" xfId="1" applyFont="1" applyFill="1" applyBorder="1" applyAlignment="1">
      <alignment horizontal="center" vertical="center" wrapText="1"/>
    </xf>
    <xf numFmtId="0" fontId="9" fillId="0" borderId="84" xfId="0" applyFont="1" applyBorder="1" applyAlignment="1">
      <alignment horizontal="center" vertical="center" wrapText="1"/>
    </xf>
    <xf numFmtId="0" fontId="9" fillId="0" borderId="85" xfId="1" applyFont="1" applyFill="1" applyBorder="1" applyAlignment="1">
      <alignment horizontal="center" vertical="center" wrapText="1"/>
    </xf>
    <xf numFmtId="0" fontId="9" fillId="0" borderId="86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23" fillId="5" borderId="85" xfId="1" applyFont="1" applyFill="1" applyBorder="1" applyAlignment="1">
      <alignment horizontal="center" vertical="center" wrapText="1"/>
    </xf>
    <xf numFmtId="0" fontId="9" fillId="5" borderId="86" xfId="1" applyFont="1" applyFill="1" applyBorder="1" applyAlignment="1">
      <alignment horizontal="center" vertical="center" wrapText="1"/>
    </xf>
    <xf numFmtId="0" fontId="2" fillId="7" borderId="85" xfId="0" applyFont="1" applyFill="1" applyBorder="1" applyAlignment="1">
      <alignment horizontal="center" vertical="center"/>
    </xf>
    <xf numFmtId="0" fontId="9" fillId="0" borderId="89" xfId="0" applyFont="1" applyBorder="1" applyAlignment="1">
      <alignment horizontal="center" vertical="center" wrapText="1"/>
    </xf>
    <xf numFmtId="0" fontId="9" fillId="5" borderId="84" xfId="1" applyFont="1" applyFill="1" applyBorder="1" applyAlignment="1">
      <alignment horizontal="center" vertical="center" wrapText="1"/>
    </xf>
    <xf numFmtId="0" fontId="14" fillId="7" borderId="85" xfId="0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/>
    </xf>
    <xf numFmtId="0" fontId="9" fillId="0" borderId="92" xfId="1" applyFont="1" applyFill="1" applyBorder="1" applyAlignment="1">
      <alignment horizontal="center" vertical="center" wrapText="1"/>
    </xf>
    <xf numFmtId="0" fontId="9" fillId="0" borderId="93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23" fillId="5" borderId="92" xfId="1" applyFont="1" applyFill="1" applyBorder="1" applyAlignment="1">
      <alignment horizontal="center" vertical="center" wrapText="1"/>
    </xf>
    <xf numFmtId="0" fontId="9" fillId="5" borderId="93" xfId="1" applyFont="1" applyFill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2" fillId="0" borderId="93" xfId="0" applyFont="1" applyBorder="1" applyAlignment="1">
      <alignment horizontal="center" vertical="center" wrapText="1"/>
    </xf>
    <xf numFmtId="0" fontId="2" fillId="5" borderId="93" xfId="0" applyFont="1" applyFill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5" borderId="92" xfId="0" applyFont="1" applyFill="1" applyBorder="1" applyAlignment="1">
      <alignment horizontal="center" vertical="center" wrapText="1"/>
    </xf>
    <xf numFmtId="0" fontId="21" fillId="5" borderId="93" xfId="0" applyFont="1" applyFill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21" fillId="5" borderId="85" xfId="0" applyFont="1" applyFill="1" applyBorder="1" applyAlignment="1">
      <alignment horizontal="center" vertical="center" wrapText="1"/>
    </xf>
    <xf numFmtId="0" fontId="2" fillId="5" borderId="86" xfId="0" applyFont="1" applyFill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center" vertical="center" wrapText="1"/>
    </xf>
    <xf numFmtId="0" fontId="23" fillId="5" borderId="6" xfId="1" applyFont="1" applyFill="1" applyBorder="1" applyAlignment="1">
      <alignment horizontal="center" vertical="center" wrapText="1"/>
    </xf>
    <xf numFmtId="0" fontId="23" fillId="5" borderId="8" xfId="1" applyFont="1" applyFill="1" applyBorder="1" applyAlignment="1">
      <alignment horizontal="center" vertical="center" wrapText="1"/>
    </xf>
    <xf numFmtId="0" fontId="23" fillId="5" borderId="28" xfId="1" applyFont="1" applyFill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center" vertical="center" wrapText="1"/>
    </xf>
    <xf numFmtId="0" fontId="9" fillId="5" borderId="5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2" fillId="7" borderId="77" xfId="0" applyFont="1" applyFill="1" applyBorder="1" applyAlignment="1">
      <alignment horizontal="center" vertical="center"/>
    </xf>
    <xf numFmtId="0" fontId="23" fillId="8" borderId="38" xfId="1" applyFont="1" applyFill="1" applyBorder="1" applyAlignment="1">
      <alignment horizontal="center" vertical="center" wrapText="1"/>
    </xf>
    <xf numFmtId="0" fontId="2" fillId="0" borderId="46" xfId="0" applyFont="1" applyBorder="1" applyAlignment="1">
      <alignment vertical="center" wrapText="1"/>
    </xf>
    <xf numFmtId="0" fontId="22" fillId="7" borderId="54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 wrapText="1"/>
    </xf>
    <xf numFmtId="0" fontId="13" fillId="7" borderId="43" xfId="0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/>
    </xf>
    <xf numFmtId="0" fontId="16" fillId="7" borderId="54" xfId="0" applyFont="1" applyFill="1" applyBorder="1" applyAlignment="1">
      <alignment horizontal="center" vertical="center"/>
    </xf>
    <xf numFmtId="0" fontId="16" fillId="7" borderId="63" xfId="0" applyFont="1" applyFill="1" applyBorder="1" applyAlignment="1">
      <alignment horizontal="center" vertical="center"/>
    </xf>
    <xf numFmtId="0" fontId="16" fillId="7" borderId="54" xfId="0" applyFont="1" applyFill="1" applyBorder="1" applyAlignment="1">
      <alignment horizontal="center" vertical="center" wrapText="1"/>
    </xf>
    <xf numFmtId="0" fontId="16" fillId="7" borderId="63" xfId="0" applyFont="1" applyFill="1" applyBorder="1" applyAlignment="1">
      <alignment horizontal="center" vertical="center" wrapText="1"/>
    </xf>
    <xf numFmtId="0" fontId="16" fillId="7" borderId="64" xfId="0" applyFont="1" applyFill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/>
    </xf>
    <xf numFmtId="0" fontId="16" fillId="7" borderId="47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80" xfId="0" applyFont="1" applyFill="1" applyBorder="1" applyAlignment="1">
      <alignment horizontal="center" vertical="center"/>
    </xf>
    <xf numFmtId="0" fontId="16" fillId="7" borderId="64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vertical="center" wrapText="1"/>
    </xf>
    <xf numFmtId="0" fontId="10" fillId="4" borderId="39" xfId="0" applyFont="1" applyFill="1" applyBorder="1" applyAlignment="1">
      <alignment vertical="center" wrapText="1"/>
    </xf>
    <xf numFmtId="0" fontId="10" fillId="4" borderId="80" xfId="0" applyFont="1" applyFill="1" applyBorder="1" applyAlignment="1">
      <alignment vertical="center" wrapText="1"/>
    </xf>
    <xf numFmtId="0" fontId="10" fillId="4" borderId="35" xfId="0" applyFont="1" applyFill="1" applyBorder="1" applyAlignment="1">
      <alignment horizontal="left" vertical="center" wrapText="1"/>
    </xf>
    <xf numFmtId="0" fontId="10" fillId="4" borderId="39" xfId="0" applyFont="1" applyFill="1" applyBorder="1" applyAlignment="1">
      <alignment horizontal="left" vertical="center" wrapText="1"/>
    </xf>
    <xf numFmtId="0" fontId="10" fillId="4" borderId="54" xfId="0" applyFont="1" applyFill="1" applyBorder="1" applyAlignment="1">
      <alignment horizontal="left" vertical="center" wrapText="1"/>
    </xf>
    <xf numFmtId="0" fontId="10" fillId="4" borderId="63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5" borderId="70" xfId="0" applyFont="1" applyFill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 vertical="center"/>
    </xf>
    <xf numFmtId="0" fontId="21" fillId="7" borderId="73" xfId="0" applyFont="1" applyFill="1" applyBorder="1" applyAlignment="1">
      <alignment horizontal="center" vertical="center" wrapText="1"/>
    </xf>
    <xf numFmtId="0" fontId="21" fillId="7" borderId="80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/>
    </xf>
    <xf numFmtId="0" fontId="16" fillId="7" borderId="39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53" xfId="0" applyFont="1" applyFill="1" applyBorder="1" applyAlignment="1">
      <alignment horizontal="center" vertical="center" wrapText="1"/>
    </xf>
    <xf numFmtId="0" fontId="19" fillId="7" borderId="52" xfId="0" applyFont="1" applyFill="1" applyBorder="1" applyAlignment="1">
      <alignment horizontal="center" vertical="center" wrapText="1"/>
    </xf>
    <xf numFmtId="0" fontId="19" fillId="7" borderId="59" xfId="0" applyFont="1" applyFill="1" applyBorder="1" applyAlignment="1">
      <alignment horizontal="center" vertical="center" wrapText="1"/>
    </xf>
    <xf numFmtId="0" fontId="19" fillId="7" borderId="65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80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left" vertical="center"/>
    </xf>
    <xf numFmtId="0" fontId="10" fillId="4" borderId="39" xfId="0" applyFont="1" applyFill="1" applyBorder="1" applyAlignment="1">
      <alignment horizontal="left" vertical="center"/>
    </xf>
    <xf numFmtId="0" fontId="8" fillId="0" borderId="5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/>
    </xf>
    <xf numFmtId="0" fontId="16" fillId="7" borderId="67" xfId="0" applyFont="1" applyFill="1" applyBorder="1" applyAlignment="1">
      <alignment horizontal="center" vertical="center"/>
    </xf>
    <xf numFmtId="0" fontId="16" fillId="5" borderId="68" xfId="0" applyFont="1" applyFill="1" applyBorder="1" applyAlignment="1">
      <alignment horizontal="center" vertical="center" wrapText="1"/>
    </xf>
    <xf numFmtId="0" fontId="16" fillId="5" borderId="47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7" borderId="4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18" fillId="7" borderId="54" xfId="1" applyFont="1" applyFill="1" applyBorder="1" applyAlignment="1">
      <alignment horizontal="center" vertical="center" wrapText="1"/>
    </xf>
    <xf numFmtId="0" fontId="18" fillId="7" borderId="63" xfId="1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62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left" vertical="center"/>
    </xf>
    <xf numFmtId="0" fontId="12" fillId="0" borderId="57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3" fillId="5" borderId="70" xfId="0" applyFont="1" applyFill="1" applyBorder="1" applyAlignment="1">
      <alignment horizontal="center" vertical="center" wrapText="1"/>
    </xf>
    <xf numFmtId="0" fontId="13" fillId="5" borderId="68" xfId="0" applyFont="1" applyFill="1" applyBorder="1" applyAlignment="1">
      <alignment horizontal="center" vertical="center" wrapText="1"/>
    </xf>
    <xf numFmtId="0" fontId="13" fillId="5" borderId="4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17" fillId="4" borderId="35" xfId="0" applyFont="1" applyFill="1" applyBorder="1" applyAlignment="1">
      <alignment horizontal="left" vertical="center"/>
    </xf>
    <xf numFmtId="0" fontId="17" fillId="4" borderId="39" xfId="0" applyFont="1" applyFill="1" applyBorder="1" applyAlignment="1">
      <alignment horizontal="left" vertical="center"/>
    </xf>
    <xf numFmtId="0" fontId="16" fillId="7" borderId="22" xfId="0" applyFont="1" applyFill="1" applyBorder="1" applyAlignment="1">
      <alignment horizontal="center" vertical="center" wrapText="1"/>
    </xf>
    <xf numFmtId="0" fontId="16" fillId="7" borderId="62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center" vertical="center" wrapText="1"/>
    </xf>
    <xf numFmtId="0" fontId="3" fillId="7" borderId="57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left" vertical="center"/>
    </xf>
    <xf numFmtId="0" fontId="10" fillId="4" borderId="19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62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left"/>
    </xf>
    <xf numFmtId="0" fontId="10" fillId="4" borderId="19" xfId="0" applyFont="1" applyFill="1" applyBorder="1" applyAlignment="1">
      <alignment horizontal="left"/>
    </xf>
    <xf numFmtId="0" fontId="2" fillId="3" borderId="72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71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6" fillId="7" borderId="42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10" fillId="4" borderId="12" xfId="0" applyFont="1" applyFill="1" applyBorder="1" applyAlignment="1">
      <alignment horizontal="left"/>
    </xf>
    <xf numFmtId="0" fontId="10" fillId="4" borderId="62" xfId="0" applyFont="1" applyFill="1" applyBorder="1" applyAlignment="1">
      <alignment horizontal="left"/>
    </xf>
    <xf numFmtId="0" fontId="3" fillId="0" borderId="71" xfId="0" applyFont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62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 wrapText="1"/>
    </xf>
    <xf numFmtId="0" fontId="16" fillId="5" borderId="35" xfId="0" applyFont="1" applyFill="1" applyBorder="1" applyAlignment="1">
      <alignment horizontal="center" vertical="center" wrapText="1"/>
    </xf>
    <xf numFmtId="0" fontId="2" fillId="7" borderId="59" xfId="0" applyFont="1" applyFill="1" applyBorder="1" applyAlignment="1">
      <alignment horizontal="center" vertical="center" wrapText="1"/>
    </xf>
    <xf numFmtId="0" fontId="2" fillId="7" borderId="6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left" vertical="center" wrapText="1"/>
    </xf>
    <xf numFmtId="0" fontId="21" fillId="4" borderId="35" xfId="0" applyFont="1" applyFill="1" applyBorder="1" applyAlignment="1">
      <alignment horizontal="center" vertical="center" wrapText="1"/>
    </xf>
    <xf numFmtId="0" fontId="21" fillId="4" borderId="80" xfId="0" applyFont="1" applyFill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 wrapText="1"/>
    </xf>
    <xf numFmtId="0" fontId="3" fillId="0" borderId="91" xfId="0" applyFont="1" applyBorder="1" applyAlignment="1">
      <alignment horizontal="center" vertical="center" wrapText="1"/>
    </xf>
    <xf numFmtId="0" fontId="16" fillId="7" borderId="90" xfId="0" applyFont="1" applyFill="1" applyBorder="1" applyAlignment="1">
      <alignment horizontal="center" vertical="center"/>
    </xf>
    <xf numFmtId="0" fontId="16" fillId="7" borderId="91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 vertical="center" wrapText="1"/>
    </xf>
    <xf numFmtId="0" fontId="3" fillId="0" borderId="95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0" fontId="16" fillId="7" borderId="95" xfId="0" applyFont="1" applyFill="1" applyBorder="1" applyAlignment="1">
      <alignment horizontal="center" vertical="center"/>
    </xf>
    <xf numFmtId="0" fontId="16" fillId="7" borderId="89" xfId="0" applyFont="1" applyFill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3" fillId="7" borderId="90" xfId="0" applyFont="1" applyFill="1" applyBorder="1" applyAlignment="1">
      <alignment horizontal="center" vertical="center" wrapText="1"/>
    </xf>
    <xf numFmtId="0" fontId="13" fillId="7" borderId="91" xfId="0" applyFont="1" applyFill="1" applyBorder="1" applyAlignment="1">
      <alignment horizontal="center" vertical="center" wrapText="1"/>
    </xf>
    <xf numFmtId="0" fontId="16" fillId="7" borderId="8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8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23" fillId="5" borderId="10" xfId="1" applyFont="1" applyFill="1" applyBorder="1" applyAlignment="1">
      <alignment horizontal="center" vertical="center" wrapText="1"/>
    </xf>
    <xf numFmtId="0" fontId="23" fillId="5" borderId="5" xfId="1" applyFont="1" applyFill="1" applyBorder="1" applyAlignment="1">
      <alignment horizontal="center" vertical="center" wrapText="1"/>
    </xf>
    <xf numFmtId="0" fontId="23" fillId="5" borderId="58" xfId="1" applyFont="1" applyFill="1" applyBorder="1" applyAlignment="1">
      <alignment horizontal="center" vertical="center" wrapText="1"/>
    </xf>
    <xf numFmtId="0" fontId="23" fillId="0" borderId="20" xfId="1" applyFont="1" applyFill="1" applyBorder="1" applyAlignment="1">
      <alignment horizontal="center" vertical="center" wrapText="1"/>
    </xf>
    <xf numFmtId="0" fontId="23" fillId="0" borderId="15" xfId="1" applyFont="1" applyFill="1" applyBorder="1" applyAlignment="1">
      <alignment horizontal="center" vertical="center" wrapText="1"/>
    </xf>
    <xf numFmtId="0" fontId="23" fillId="5" borderId="4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16" xfId="1" applyFont="1" applyFill="1" applyBorder="1" applyAlignment="1">
      <alignment horizontal="center" vertical="center" wrapText="1"/>
    </xf>
    <xf numFmtId="0" fontId="9" fillId="5" borderId="36" xfId="1" applyFont="1" applyFill="1" applyBorder="1" applyAlignment="1">
      <alignment horizontal="center" vertical="center" wrapText="1"/>
    </xf>
    <xf numFmtId="0" fontId="9" fillId="5" borderId="20" xfId="1" applyFont="1" applyFill="1" applyBorder="1" applyAlignment="1">
      <alignment horizontal="center" vertical="center" wrapText="1"/>
    </xf>
    <xf numFmtId="0" fontId="9" fillId="5" borderId="51" xfId="1" applyFont="1" applyFill="1" applyBorder="1" applyAlignment="1">
      <alignment horizontal="center" vertical="center" wrapText="1"/>
    </xf>
    <xf numFmtId="0" fontId="23" fillId="5" borderId="9" xfId="1" applyFont="1" applyFill="1" applyBorder="1" applyAlignment="1">
      <alignment horizontal="center" vertical="center" wrapText="1"/>
    </xf>
    <xf numFmtId="0" fontId="23" fillId="5" borderId="14" xfId="1" applyFont="1" applyFill="1" applyBorder="1" applyAlignment="1">
      <alignment horizontal="center" vertical="center" wrapText="1"/>
    </xf>
    <xf numFmtId="0" fontId="23" fillId="5" borderId="45" xfId="1" applyFont="1" applyFill="1" applyBorder="1" applyAlignment="1">
      <alignment horizontal="center" vertical="center" wrapText="1"/>
    </xf>
    <xf numFmtId="0" fontId="23" fillId="5" borderId="52" xfId="1" applyFont="1" applyFill="1" applyBorder="1" applyAlignment="1">
      <alignment horizontal="center" vertical="center" wrapText="1"/>
    </xf>
    <xf numFmtId="0" fontId="23" fillId="0" borderId="69" xfId="1" applyFont="1" applyFill="1" applyBorder="1" applyAlignment="1">
      <alignment horizontal="center" vertical="center" wrapText="1"/>
    </xf>
    <xf numFmtId="0" fontId="23" fillId="5" borderId="69" xfId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201" TargetMode="External"/><Relationship Id="rId3" Type="http://schemas.openxmlformats.org/officeDocument/2006/relationships/hyperlink" Target="https://www.gutenberg.org/ebooks/40357" TargetMode="External"/><Relationship Id="rId7" Type="http://schemas.openxmlformats.org/officeDocument/2006/relationships/hyperlink" Target="https://www.gutenberg.org/ebooks/37944" TargetMode="External"/><Relationship Id="rId12" Type="http://schemas.openxmlformats.org/officeDocument/2006/relationships/hyperlink" Target="https://archive.org/details/sunshadowinspain00elliuoft" TargetMode="External"/><Relationship Id="rId2" Type="http://schemas.openxmlformats.org/officeDocument/2006/relationships/hyperlink" Target="https://archive.org/details/spainoftodaynarr00shaw/page/n11/mode/2up" TargetMode="External"/><Relationship Id="rId1" Type="http://schemas.openxmlformats.org/officeDocument/2006/relationships/hyperlink" Target="https://www.gutenberg.org/ebooks/author/39917" TargetMode="External"/><Relationship Id="rId6" Type="http://schemas.openxmlformats.org/officeDocument/2006/relationships/hyperlink" Target="https://www.gutenberg.org/ebooks/41593" TargetMode="External"/><Relationship Id="rId11" Type="http://schemas.openxmlformats.org/officeDocument/2006/relationships/hyperlink" Target="https://www.gutenberg.org/ebooks/27252" TargetMode="External"/><Relationship Id="rId5" Type="http://schemas.openxmlformats.org/officeDocument/2006/relationships/hyperlink" Target="https://www.gutenberg.org/ebooks/40356" TargetMode="External"/><Relationship Id="rId15" Type="http://schemas.openxmlformats.org/officeDocument/2006/relationships/hyperlink" Target="https://archive.org/details/throughspainreco00dickrich/page/n13/mode/2up" TargetMode="External"/><Relationship Id="rId10" Type="http://schemas.openxmlformats.org/officeDocument/2006/relationships/hyperlink" Target="https://archive.org/details/atrampinspain00unkngoog/page/n8/mode/2up" TargetMode="External"/><Relationship Id="rId4" Type="http://schemas.openxmlformats.org/officeDocument/2006/relationships/hyperlink" Target="https://archive.org/details/landofdons00will/page/n19/mode/2up" TargetMode="External"/><Relationship Id="rId9" Type="http://schemas.openxmlformats.org/officeDocument/2006/relationships/hyperlink" Target="https://www.gutenberg.org/ebooks/59944" TargetMode="External"/><Relationship Id="rId14" Type="http://schemas.openxmlformats.org/officeDocument/2006/relationships/hyperlink" Target="https://www.gutenberg.org/ebooks/7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8CF-D488-4A3A-B664-FD514517477C}">
  <sheetPr>
    <tabColor rgb="FF00B0F0"/>
  </sheetPr>
  <dimension ref="A1:CG69"/>
  <sheetViews>
    <sheetView topLeftCell="D1" zoomScale="50" zoomScaleNormal="50" workbookViewId="0">
      <selection activeCell="N9" sqref="N9"/>
    </sheetView>
  </sheetViews>
  <sheetFormatPr baseColWidth="10" defaultColWidth="8.88671875" defaultRowHeight="15.6" x14ac:dyDescent="0.3"/>
  <cols>
    <col min="1" max="1" width="79" customWidth="1"/>
    <col min="2" max="2" width="61.77734375" customWidth="1"/>
    <col min="3" max="3" width="26.88671875" customWidth="1"/>
    <col min="4" max="4" width="23.88671875" customWidth="1"/>
    <col min="5" max="5" width="34.33203125" customWidth="1"/>
    <col min="6" max="6" width="21" customWidth="1"/>
    <col min="7" max="7" width="21.6640625" customWidth="1"/>
    <col min="8" max="8" width="33.21875" customWidth="1"/>
    <col min="9" max="9" width="13.88671875" customWidth="1"/>
    <col min="10" max="10" width="13" style="65" customWidth="1"/>
    <col min="11" max="11" width="11.6640625" style="65" customWidth="1"/>
    <col min="12" max="12" width="11.6640625" customWidth="1"/>
    <col min="13" max="13" width="17.77734375" style="65" customWidth="1"/>
    <col min="14" max="14" width="19.33203125" style="65" customWidth="1"/>
    <col min="15" max="15" width="22.88671875" style="65" customWidth="1"/>
    <col min="16" max="16" width="33.21875" customWidth="1"/>
    <col min="17" max="17" width="14.33203125" customWidth="1"/>
    <col min="18" max="18" width="14.109375" customWidth="1"/>
    <col min="19" max="19" width="13.21875" customWidth="1"/>
    <col min="20" max="20" width="10.6640625" style="24" customWidth="1"/>
    <col min="21" max="22" width="10.44140625" style="24" customWidth="1"/>
    <col min="23" max="23" width="12" style="24" customWidth="1"/>
    <col min="24" max="25" width="13.5546875" style="24" customWidth="1"/>
    <col min="26" max="26" width="9.77734375" customWidth="1"/>
    <col min="27" max="28" width="9.33203125" customWidth="1"/>
    <col min="29" max="29" width="8.44140625" customWidth="1"/>
    <col min="30" max="31" width="9.6640625" customWidth="1"/>
    <col min="32" max="32" width="10.5546875" customWidth="1"/>
    <col min="33" max="33" width="12.5546875" customWidth="1"/>
    <col min="34" max="42" width="12.33203125" customWidth="1"/>
    <col min="43" max="43" width="9.6640625" customWidth="1"/>
    <col min="44" max="44" width="10.109375" customWidth="1"/>
    <col min="45" max="47" width="11.109375" customWidth="1"/>
    <col min="48" max="48" width="11" customWidth="1"/>
    <col min="49" max="49" width="10.21875" customWidth="1"/>
    <col min="50" max="50" width="9" customWidth="1"/>
    <col min="51" max="51" width="9.6640625" customWidth="1"/>
    <col min="52" max="52" width="14.5546875" customWidth="1"/>
    <col min="53" max="53" width="13.88671875" customWidth="1"/>
    <col min="54" max="56" width="9" customWidth="1"/>
    <col min="57" max="61" width="11.5546875" customWidth="1"/>
    <col min="62" max="62" width="15.5546875" customWidth="1"/>
    <col min="63" max="63" width="13.109375" customWidth="1"/>
    <col min="64" max="64" width="12.6640625" customWidth="1"/>
    <col min="65" max="66" width="10.6640625" customWidth="1"/>
    <col min="67" max="67" width="10.77734375" customWidth="1"/>
    <col min="68" max="68" width="15.77734375" customWidth="1"/>
    <col min="69" max="69" width="12.44140625" customWidth="1"/>
    <col min="70" max="70" width="11.109375" customWidth="1"/>
    <col min="71" max="71" width="12.21875" customWidth="1"/>
    <col min="72" max="72" width="16" customWidth="1"/>
    <col min="73" max="73" width="13.109375" customWidth="1"/>
    <col min="74" max="74" width="14.6640625" customWidth="1"/>
    <col min="75" max="75" width="12" customWidth="1"/>
    <col min="76" max="76" width="16.44140625" customWidth="1"/>
    <col min="77" max="77" width="14.44140625" customWidth="1"/>
    <col min="78" max="78" width="12.44140625" customWidth="1"/>
    <col min="79" max="79" width="13.77734375" customWidth="1"/>
    <col min="80" max="80" width="16.21875" customWidth="1"/>
  </cols>
  <sheetData>
    <row r="1" spans="1:85" s="55" customFormat="1" ht="42.6" customHeight="1" thickBot="1" x14ac:dyDescent="0.55000000000000004">
      <c r="A1" s="488" t="s">
        <v>0</v>
      </c>
      <c r="B1" s="488"/>
      <c r="C1" s="488"/>
      <c r="D1" s="489"/>
      <c r="E1" s="518" t="s">
        <v>328</v>
      </c>
      <c r="F1" s="519"/>
      <c r="G1" s="520"/>
      <c r="H1" s="461" t="s">
        <v>192</v>
      </c>
      <c r="I1" s="490" t="s">
        <v>128</v>
      </c>
      <c r="J1" s="491"/>
      <c r="K1" s="491"/>
      <c r="L1" s="491"/>
      <c r="M1" s="491"/>
      <c r="N1" s="491"/>
      <c r="O1" s="491"/>
      <c r="P1" s="461" t="s">
        <v>192</v>
      </c>
      <c r="Q1" s="305" t="s">
        <v>103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65"/>
      <c r="BV1"/>
      <c r="BW1"/>
      <c r="BX1"/>
      <c r="BY1"/>
      <c r="BZ1"/>
      <c r="CA1"/>
      <c r="CB1"/>
      <c r="CC1"/>
      <c r="CD1"/>
      <c r="CE1"/>
      <c r="CF1"/>
      <c r="CG1"/>
    </row>
    <row r="2" spans="1:85" s="92" customFormat="1" ht="34.799999999999997" customHeight="1" thickTop="1" x14ac:dyDescent="0.3">
      <c r="A2" s="507" t="s">
        <v>1</v>
      </c>
      <c r="B2" s="509" t="s">
        <v>2</v>
      </c>
      <c r="C2" s="509" t="s">
        <v>3</v>
      </c>
      <c r="D2" s="511" t="s">
        <v>4</v>
      </c>
      <c r="E2" s="478" t="s">
        <v>360</v>
      </c>
      <c r="F2" s="479" t="s">
        <v>128</v>
      </c>
      <c r="G2" s="479" t="s">
        <v>103</v>
      </c>
      <c r="H2" s="496"/>
      <c r="I2" s="439" t="s">
        <v>273</v>
      </c>
      <c r="J2" s="439" t="s">
        <v>274</v>
      </c>
      <c r="K2" s="436" t="s">
        <v>275</v>
      </c>
      <c r="L2" s="438"/>
      <c r="M2" s="492" t="s">
        <v>276</v>
      </c>
      <c r="N2" s="492" t="s">
        <v>277</v>
      </c>
      <c r="O2" s="481" t="s">
        <v>278</v>
      </c>
      <c r="P2" s="496"/>
      <c r="Q2" s="515" t="s">
        <v>446</v>
      </c>
      <c r="R2" s="516"/>
      <c r="S2" s="517"/>
      <c r="T2" s="485" t="s">
        <v>279</v>
      </c>
      <c r="U2" s="487"/>
      <c r="V2" s="487"/>
      <c r="W2" s="487"/>
      <c r="X2" s="487"/>
      <c r="Y2" s="487"/>
      <c r="Z2" s="485" t="s">
        <v>280</v>
      </c>
      <c r="AA2" s="487"/>
      <c r="AB2" s="487"/>
      <c r="AC2" s="487"/>
      <c r="AD2" s="485" t="s">
        <v>282</v>
      </c>
      <c r="AE2" s="487"/>
      <c r="AF2" s="487"/>
      <c r="AG2" s="487"/>
      <c r="AH2" s="487"/>
      <c r="AI2" s="485" t="s">
        <v>281</v>
      </c>
      <c r="AJ2" s="487"/>
      <c r="AK2" s="436" t="s">
        <v>283</v>
      </c>
      <c r="AL2" s="437"/>
      <c r="AM2" s="437"/>
      <c r="AN2" s="438"/>
      <c r="AO2" s="485" t="s">
        <v>285</v>
      </c>
      <c r="AP2" s="487"/>
      <c r="AQ2" s="487"/>
      <c r="AR2" s="487"/>
      <c r="AS2" s="485" t="s">
        <v>284</v>
      </c>
      <c r="AT2" s="487"/>
      <c r="AU2" s="487"/>
      <c r="AV2" s="486"/>
      <c r="AW2" s="485" t="s">
        <v>286</v>
      </c>
      <c r="AX2" s="487"/>
      <c r="AY2" s="485" t="s">
        <v>314</v>
      </c>
      <c r="AZ2" s="487"/>
      <c r="BA2" s="487"/>
      <c r="BB2" s="487"/>
      <c r="BC2" s="436" t="s">
        <v>287</v>
      </c>
      <c r="BD2" s="437"/>
      <c r="BE2" s="438"/>
      <c r="BF2" s="485" t="s">
        <v>309</v>
      </c>
      <c r="BG2" s="487"/>
      <c r="BH2" s="487"/>
      <c r="BI2" s="486"/>
      <c r="BJ2" s="478" t="s">
        <v>288</v>
      </c>
      <c r="BK2" s="485" t="s">
        <v>289</v>
      </c>
      <c r="BL2" s="487"/>
      <c r="BM2" s="487"/>
      <c r="BN2" s="485" t="s">
        <v>290</v>
      </c>
      <c r="BO2" s="486"/>
      <c r="BP2" s="483" t="s">
        <v>291</v>
      </c>
      <c r="BQ2" s="478" t="s">
        <v>448</v>
      </c>
      <c r="BR2" s="485" t="s">
        <v>292</v>
      </c>
      <c r="BS2" s="486"/>
      <c r="BT2" s="498" t="s">
        <v>300</v>
      </c>
      <c r="BU2" s="65"/>
      <c r="BV2"/>
      <c r="BW2"/>
      <c r="BX2"/>
      <c r="BY2"/>
      <c r="BZ2"/>
      <c r="CA2"/>
      <c r="CB2"/>
      <c r="CC2"/>
      <c r="CD2"/>
      <c r="CE2"/>
      <c r="CF2"/>
      <c r="CG2"/>
    </row>
    <row r="3" spans="1:85" s="92" customFormat="1" ht="37.200000000000003" customHeight="1" thickBot="1" x14ac:dyDescent="0.35">
      <c r="A3" s="508"/>
      <c r="B3" s="510"/>
      <c r="C3" s="510"/>
      <c r="D3" s="512"/>
      <c r="E3" s="445"/>
      <c r="F3" s="480"/>
      <c r="G3" s="480"/>
      <c r="H3" s="497"/>
      <c r="I3" s="440"/>
      <c r="J3" s="440"/>
      <c r="K3" s="85" t="s">
        <v>122</v>
      </c>
      <c r="L3" s="87" t="s">
        <v>117</v>
      </c>
      <c r="M3" s="493"/>
      <c r="N3" s="493"/>
      <c r="O3" s="482"/>
      <c r="P3" s="497"/>
      <c r="Q3" s="87" t="s">
        <v>326</v>
      </c>
      <c r="R3" s="87" t="s">
        <v>327</v>
      </c>
      <c r="S3" s="87" t="s">
        <v>44</v>
      </c>
      <c r="T3" s="90" t="s">
        <v>80</v>
      </c>
      <c r="U3" s="91" t="s">
        <v>83</v>
      </c>
      <c r="V3" s="307" t="s">
        <v>43</v>
      </c>
      <c r="W3" s="171" t="s">
        <v>93</v>
      </c>
      <c r="X3" s="91" t="s">
        <v>96</v>
      </c>
      <c r="Y3" s="91" t="s">
        <v>329</v>
      </c>
      <c r="Z3" s="82" t="s">
        <v>81</v>
      </c>
      <c r="AA3" s="86" t="s">
        <v>82</v>
      </c>
      <c r="AB3" s="86" t="s">
        <v>42</v>
      </c>
      <c r="AC3" s="86" t="s">
        <v>440</v>
      </c>
      <c r="AD3" s="82" t="s">
        <v>87</v>
      </c>
      <c r="AE3" s="86" t="s">
        <v>48</v>
      </c>
      <c r="AF3" s="86" t="s">
        <v>88</v>
      </c>
      <c r="AG3" s="83" t="s">
        <v>120</v>
      </c>
      <c r="AH3" s="86" t="s">
        <v>121</v>
      </c>
      <c r="AI3" s="82" t="s">
        <v>84</v>
      </c>
      <c r="AJ3" s="87" t="s">
        <v>94</v>
      </c>
      <c r="AK3" s="85" t="s">
        <v>49</v>
      </c>
      <c r="AL3" s="18" t="s">
        <v>86</v>
      </c>
      <c r="AM3" s="84" t="s">
        <v>447</v>
      </c>
      <c r="AN3" s="32" t="s">
        <v>362</v>
      </c>
      <c r="AO3" s="82" t="s">
        <v>97</v>
      </c>
      <c r="AP3" s="86" t="s">
        <v>118</v>
      </c>
      <c r="AQ3" s="87" t="s">
        <v>363</v>
      </c>
      <c r="AR3" s="87" t="s">
        <v>41</v>
      </c>
      <c r="AS3" s="82" t="s">
        <v>98</v>
      </c>
      <c r="AT3" s="86" t="s">
        <v>123</v>
      </c>
      <c r="AU3" s="87" t="s">
        <v>301</v>
      </c>
      <c r="AV3" s="32" t="s">
        <v>441</v>
      </c>
      <c r="AW3" s="82" t="s">
        <v>90</v>
      </c>
      <c r="AX3" s="87" t="s">
        <v>126</v>
      </c>
      <c r="AY3" s="218" t="s">
        <v>330</v>
      </c>
      <c r="AZ3" s="18" t="s">
        <v>315</v>
      </c>
      <c r="BA3" s="27" t="s">
        <v>316</v>
      </c>
      <c r="BB3" s="32" t="s">
        <v>439</v>
      </c>
      <c r="BC3" s="85" t="s">
        <v>99</v>
      </c>
      <c r="BD3" s="18" t="s">
        <v>95</v>
      </c>
      <c r="BE3" s="93" t="s">
        <v>47</v>
      </c>
      <c r="BF3" s="82" t="s">
        <v>310</v>
      </c>
      <c r="BG3" s="87" t="s">
        <v>311</v>
      </c>
      <c r="BH3" s="18" t="s">
        <v>313</v>
      </c>
      <c r="BI3" s="93" t="s">
        <v>312</v>
      </c>
      <c r="BJ3" s="445"/>
      <c r="BK3" s="82" t="s">
        <v>85</v>
      </c>
      <c r="BL3" s="84" t="s">
        <v>119</v>
      </c>
      <c r="BM3" s="87" t="s">
        <v>51</v>
      </c>
      <c r="BN3" s="85" t="s">
        <v>45</v>
      </c>
      <c r="BO3" s="32" t="s">
        <v>125</v>
      </c>
      <c r="BP3" s="484"/>
      <c r="BQ3" s="445"/>
      <c r="BR3" s="85" t="s">
        <v>92</v>
      </c>
      <c r="BS3" s="85" t="s">
        <v>124</v>
      </c>
      <c r="BT3" s="440"/>
      <c r="BU3" s="65"/>
      <c r="BV3"/>
      <c r="BW3"/>
      <c r="BX3"/>
      <c r="BY3"/>
      <c r="BZ3"/>
      <c r="CA3"/>
      <c r="CB3"/>
      <c r="CC3"/>
      <c r="CD3"/>
      <c r="CE3"/>
      <c r="CF3"/>
      <c r="CG3"/>
    </row>
    <row r="4" spans="1:85" ht="38.4" customHeight="1" thickTop="1" x14ac:dyDescent="0.5">
      <c r="A4" s="9" t="s">
        <v>5</v>
      </c>
      <c r="B4" s="10" t="s">
        <v>6</v>
      </c>
      <c r="C4" s="11">
        <v>1900</v>
      </c>
      <c r="D4" s="33" t="s">
        <v>7</v>
      </c>
      <c r="E4" s="244" t="s">
        <v>442</v>
      </c>
      <c r="F4" s="300">
        <v>15</v>
      </c>
      <c r="G4" s="244">
        <v>207</v>
      </c>
      <c r="H4" s="76" t="s">
        <v>193</v>
      </c>
      <c r="I4" s="336">
        <v>6</v>
      </c>
      <c r="J4" s="336">
        <v>3</v>
      </c>
      <c r="K4" s="192"/>
      <c r="L4" s="316">
        <v>5</v>
      </c>
      <c r="M4" s="192">
        <v>1</v>
      </c>
      <c r="N4" s="192"/>
      <c r="O4" s="220"/>
      <c r="P4" s="76"/>
      <c r="Q4" s="310">
        <v>41</v>
      </c>
      <c r="R4" s="316">
        <v>8</v>
      </c>
      <c r="S4" s="190"/>
      <c r="T4" s="186">
        <v>24</v>
      </c>
      <c r="U4" s="187">
        <v>10</v>
      </c>
      <c r="V4" s="190">
        <v>1</v>
      </c>
      <c r="W4" s="187">
        <v>2</v>
      </c>
      <c r="X4" s="188">
        <v>1</v>
      </c>
      <c r="Y4" s="188">
        <v>1</v>
      </c>
      <c r="Z4" s="322">
        <v>22</v>
      </c>
      <c r="AA4" s="11">
        <v>16</v>
      </c>
      <c r="AB4" s="11"/>
      <c r="AC4" s="11"/>
      <c r="AD4" s="9">
        <v>5</v>
      </c>
      <c r="AE4" s="11">
        <v>2</v>
      </c>
      <c r="AF4" s="11">
        <v>5</v>
      </c>
      <c r="AG4" s="191">
        <v>2</v>
      </c>
      <c r="AH4" s="11"/>
      <c r="AI4" s="9">
        <v>8</v>
      </c>
      <c r="AJ4" s="190">
        <v>2</v>
      </c>
      <c r="AK4" s="192">
        <v>14</v>
      </c>
      <c r="AL4" s="11">
        <v>6</v>
      </c>
      <c r="AM4" s="193">
        <v>3</v>
      </c>
      <c r="AN4" s="189"/>
      <c r="AO4" s="9">
        <v>1</v>
      </c>
      <c r="AP4" s="11"/>
      <c r="AQ4" s="190"/>
      <c r="AR4" s="190"/>
      <c r="AS4" s="9">
        <v>1</v>
      </c>
      <c r="AT4" s="11"/>
      <c r="AU4" s="190"/>
      <c r="AV4" s="189"/>
      <c r="AW4" s="9">
        <v>4</v>
      </c>
      <c r="AX4" s="190"/>
      <c r="AY4" s="124">
        <v>1</v>
      </c>
      <c r="AZ4" s="147"/>
      <c r="BA4" s="225">
        <v>1</v>
      </c>
      <c r="BB4" s="125"/>
      <c r="BC4" s="192">
        <v>1</v>
      </c>
      <c r="BD4" s="11">
        <v>2</v>
      </c>
      <c r="BE4" s="189"/>
      <c r="BF4" s="9"/>
      <c r="BG4" s="190">
        <v>2</v>
      </c>
      <c r="BH4" s="11"/>
      <c r="BI4" s="189">
        <v>2</v>
      </c>
      <c r="BJ4" s="192">
        <v>3</v>
      </c>
      <c r="BK4" s="349">
        <v>8</v>
      </c>
      <c r="BL4" s="193"/>
      <c r="BM4" s="190">
        <v>1</v>
      </c>
      <c r="BN4" s="192"/>
      <c r="BO4" s="189"/>
      <c r="BP4" s="351">
        <v>4</v>
      </c>
      <c r="BQ4" s="192"/>
      <c r="BR4" s="192">
        <v>3</v>
      </c>
      <c r="BS4" s="192"/>
      <c r="BT4" s="192"/>
      <c r="BU4" s="65"/>
    </row>
    <row r="5" spans="1:85" ht="31.2" customHeight="1" x14ac:dyDescent="0.5">
      <c r="A5" s="13" t="s">
        <v>8</v>
      </c>
      <c r="B5" s="3" t="s">
        <v>9</v>
      </c>
      <c r="C5" s="2">
        <v>1902</v>
      </c>
      <c r="D5" s="34" t="s">
        <v>10</v>
      </c>
      <c r="E5" s="248" t="s">
        <v>361</v>
      </c>
      <c r="F5" s="248"/>
      <c r="G5" s="248">
        <v>78</v>
      </c>
      <c r="H5" s="74" t="s">
        <v>197</v>
      </c>
      <c r="I5" s="200"/>
      <c r="J5" s="200"/>
      <c r="K5" s="200"/>
      <c r="L5" s="198"/>
      <c r="M5" s="200"/>
      <c r="N5" s="200"/>
      <c r="O5" s="221"/>
      <c r="P5" s="74"/>
      <c r="Q5" s="198">
        <v>8</v>
      </c>
      <c r="R5" s="198">
        <v>6</v>
      </c>
      <c r="S5" s="198">
        <v>1</v>
      </c>
      <c r="T5" s="194">
        <v>4</v>
      </c>
      <c r="U5" s="195">
        <v>1</v>
      </c>
      <c r="V5" s="198">
        <v>1</v>
      </c>
      <c r="W5" s="195"/>
      <c r="X5" s="196">
        <v>1</v>
      </c>
      <c r="Y5" s="196"/>
      <c r="Z5" s="13">
        <v>9</v>
      </c>
      <c r="AA5" s="2">
        <v>4</v>
      </c>
      <c r="AB5" s="2">
        <v>2</v>
      </c>
      <c r="AC5" s="2"/>
      <c r="AD5" s="13">
        <v>1</v>
      </c>
      <c r="AE5" s="2"/>
      <c r="AF5" s="2"/>
      <c r="AG5" s="199">
        <v>1</v>
      </c>
      <c r="AH5" s="2"/>
      <c r="AI5" s="13">
        <v>6</v>
      </c>
      <c r="AJ5" s="198">
        <v>2</v>
      </c>
      <c r="AK5" s="200">
        <v>6</v>
      </c>
      <c r="AL5" s="2"/>
      <c r="AM5" s="201"/>
      <c r="AN5" s="338">
        <v>5</v>
      </c>
      <c r="AO5" s="13">
        <v>1</v>
      </c>
      <c r="AP5" s="2">
        <v>3</v>
      </c>
      <c r="AQ5" s="334">
        <v>2</v>
      </c>
      <c r="AR5" s="198">
        <v>1</v>
      </c>
      <c r="AS5" s="13">
        <v>2</v>
      </c>
      <c r="AT5" s="2"/>
      <c r="AU5" s="198"/>
      <c r="AV5" s="197"/>
      <c r="AW5" s="13"/>
      <c r="AX5" s="198"/>
      <c r="AY5" s="126">
        <v>2</v>
      </c>
      <c r="AZ5" s="148"/>
      <c r="BA5" s="175"/>
      <c r="BB5" s="127"/>
      <c r="BC5" s="200"/>
      <c r="BD5" s="2"/>
      <c r="BE5" s="197"/>
      <c r="BF5" s="13"/>
      <c r="BG5" s="309">
        <v>3</v>
      </c>
      <c r="BH5" s="2">
        <v>1</v>
      </c>
      <c r="BI5" s="197"/>
      <c r="BJ5" s="200">
        <v>2</v>
      </c>
      <c r="BK5" s="13">
        <v>1</v>
      </c>
      <c r="BL5" s="201">
        <v>1</v>
      </c>
      <c r="BM5" s="198"/>
      <c r="BN5" s="200"/>
      <c r="BO5" s="197">
        <v>1</v>
      </c>
      <c r="BP5" s="200"/>
      <c r="BQ5" s="200"/>
      <c r="BR5" s="200"/>
      <c r="BS5" s="200"/>
      <c r="BT5" s="200"/>
      <c r="BU5" s="65"/>
    </row>
    <row r="6" spans="1:85" ht="37.799999999999997" customHeight="1" x14ac:dyDescent="0.5">
      <c r="A6" s="13" t="s">
        <v>11</v>
      </c>
      <c r="B6" s="3" t="s">
        <v>12</v>
      </c>
      <c r="C6" s="2">
        <v>1903</v>
      </c>
      <c r="D6" s="35" t="s">
        <v>7</v>
      </c>
      <c r="E6" s="248" t="s">
        <v>368</v>
      </c>
      <c r="F6" s="248">
        <v>4</v>
      </c>
      <c r="G6" s="248">
        <v>184</v>
      </c>
      <c r="H6" s="74" t="s">
        <v>195</v>
      </c>
      <c r="I6" s="200">
        <v>1</v>
      </c>
      <c r="J6" s="200"/>
      <c r="K6" s="200">
        <v>2</v>
      </c>
      <c r="L6" s="198"/>
      <c r="M6" s="200"/>
      <c r="N6" s="200"/>
      <c r="O6" s="401">
        <v>1</v>
      </c>
      <c r="P6" s="74"/>
      <c r="Q6" s="198">
        <v>33</v>
      </c>
      <c r="R6" s="309">
        <v>7</v>
      </c>
      <c r="S6" s="198">
        <v>2</v>
      </c>
      <c r="T6" s="194">
        <v>9</v>
      </c>
      <c r="U6" s="195">
        <v>13</v>
      </c>
      <c r="V6" s="198"/>
      <c r="W6" s="195">
        <v>1</v>
      </c>
      <c r="X6" s="196">
        <v>1</v>
      </c>
      <c r="Y6" s="196"/>
      <c r="Z6" s="321">
        <v>22</v>
      </c>
      <c r="AA6" s="2">
        <v>3</v>
      </c>
      <c r="AB6" s="2">
        <v>1</v>
      </c>
      <c r="AC6" s="2"/>
      <c r="AD6" s="13">
        <v>6</v>
      </c>
      <c r="AE6" s="2">
        <v>4</v>
      </c>
      <c r="AF6" s="324">
        <v>9</v>
      </c>
      <c r="AG6" s="330">
        <v>4</v>
      </c>
      <c r="AH6" s="2">
        <v>3</v>
      </c>
      <c r="AI6" s="13">
        <v>17</v>
      </c>
      <c r="AJ6" s="198">
        <v>4</v>
      </c>
      <c r="AK6" s="200">
        <v>2</v>
      </c>
      <c r="AL6" s="2">
        <v>4</v>
      </c>
      <c r="AM6" s="339">
        <v>4</v>
      </c>
      <c r="AN6" s="197"/>
      <c r="AO6" s="13">
        <v>7</v>
      </c>
      <c r="AP6" s="2">
        <v>3</v>
      </c>
      <c r="AQ6" s="198"/>
      <c r="AR6" s="198"/>
      <c r="AS6" s="13">
        <v>3</v>
      </c>
      <c r="AT6" s="2">
        <v>1</v>
      </c>
      <c r="AU6" s="198"/>
      <c r="AV6" s="197"/>
      <c r="AW6" s="13">
        <v>9</v>
      </c>
      <c r="AX6" s="198"/>
      <c r="AY6" s="126"/>
      <c r="AZ6" s="148"/>
      <c r="BA6" s="344">
        <v>4</v>
      </c>
      <c r="BB6" s="127"/>
      <c r="BC6" s="200">
        <v>2</v>
      </c>
      <c r="BD6" s="2"/>
      <c r="BE6" s="197"/>
      <c r="BF6" s="13"/>
      <c r="BG6" s="198">
        <v>1</v>
      </c>
      <c r="BH6" s="2"/>
      <c r="BI6" s="197">
        <v>1</v>
      </c>
      <c r="BJ6" s="200"/>
      <c r="BK6" s="13">
        <v>2</v>
      </c>
      <c r="BL6" s="201"/>
      <c r="BM6" s="198"/>
      <c r="BN6" s="200"/>
      <c r="BO6" s="197"/>
      <c r="BP6" s="200">
        <v>1</v>
      </c>
      <c r="BQ6" s="200"/>
      <c r="BR6" s="200"/>
      <c r="BS6" s="200"/>
      <c r="BT6" s="200">
        <v>1</v>
      </c>
      <c r="BU6" s="65"/>
    </row>
    <row r="7" spans="1:85" ht="33.6" customHeight="1" x14ac:dyDescent="0.5">
      <c r="A7" s="13" t="s">
        <v>13</v>
      </c>
      <c r="B7" s="3" t="s">
        <v>14</v>
      </c>
      <c r="C7" s="2">
        <v>1904</v>
      </c>
      <c r="D7" s="35" t="s">
        <v>15</v>
      </c>
      <c r="E7" s="248" t="s">
        <v>373</v>
      </c>
      <c r="F7" s="248">
        <v>6</v>
      </c>
      <c r="G7" s="248">
        <v>209</v>
      </c>
      <c r="H7" s="74" t="s">
        <v>198</v>
      </c>
      <c r="I7" s="200">
        <v>2</v>
      </c>
      <c r="J7" s="200">
        <v>1</v>
      </c>
      <c r="K7" s="200"/>
      <c r="L7" s="198"/>
      <c r="M7" s="335">
        <v>3</v>
      </c>
      <c r="N7" s="200"/>
      <c r="O7" s="221"/>
      <c r="P7" s="74"/>
      <c r="Q7" s="198"/>
      <c r="R7" s="198"/>
      <c r="S7" s="198"/>
      <c r="T7" s="194">
        <v>6</v>
      </c>
      <c r="U7" s="195">
        <v>5</v>
      </c>
      <c r="V7" s="198"/>
      <c r="W7" s="195">
        <v>1</v>
      </c>
      <c r="X7" s="196"/>
      <c r="Y7" s="196"/>
      <c r="Z7" s="13">
        <v>15</v>
      </c>
      <c r="AA7" s="324">
        <v>19</v>
      </c>
      <c r="AB7" s="324">
        <v>6</v>
      </c>
      <c r="AC7" s="2"/>
      <c r="AD7" s="321">
        <v>19</v>
      </c>
      <c r="AE7" s="2">
        <v>6</v>
      </c>
      <c r="AF7" s="2">
        <v>3</v>
      </c>
      <c r="AG7" s="333">
        <v>4</v>
      </c>
      <c r="AH7" s="2">
        <v>1</v>
      </c>
      <c r="AI7" s="321">
        <v>38</v>
      </c>
      <c r="AJ7" s="198">
        <v>3</v>
      </c>
      <c r="AK7" s="340">
        <v>23</v>
      </c>
      <c r="AL7" s="2">
        <v>6</v>
      </c>
      <c r="AM7" s="201"/>
      <c r="AN7" s="197">
        <v>1</v>
      </c>
      <c r="AO7" s="13">
        <v>3</v>
      </c>
      <c r="AP7" s="2"/>
      <c r="AQ7" s="198"/>
      <c r="AR7" s="198"/>
      <c r="AS7" s="343">
        <v>14</v>
      </c>
      <c r="AT7" s="2">
        <v>2</v>
      </c>
      <c r="AU7" s="198">
        <v>1</v>
      </c>
      <c r="AV7" s="197"/>
      <c r="AW7" s="321">
        <v>10</v>
      </c>
      <c r="AX7" s="198"/>
      <c r="AY7" s="126"/>
      <c r="AZ7" s="148"/>
      <c r="BA7" s="175"/>
      <c r="BB7" s="127"/>
      <c r="BC7" s="200"/>
      <c r="BD7" s="2">
        <v>2</v>
      </c>
      <c r="BE7" s="197"/>
      <c r="BF7" s="13"/>
      <c r="BG7" s="309">
        <v>3</v>
      </c>
      <c r="BH7" s="2"/>
      <c r="BI7" s="337">
        <v>2</v>
      </c>
      <c r="BJ7" s="200"/>
      <c r="BK7" s="13">
        <v>3</v>
      </c>
      <c r="BL7" s="201"/>
      <c r="BM7" s="198">
        <v>1</v>
      </c>
      <c r="BN7" s="200"/>
      <c r="BO7" s="197"/>
      <c r="BP7" s="200"/>
      <c r="BQ7" s="340">
        <v>9</v>
      </c>
      <c r="BR7" s="200"/>
      <c r="BS7" s="200">
        <v>1</v>
      </c>
      <c r="BT7" s="340">
        <v>2</v>
      </c>
      <c r="BU7" s="65"/>
    </row>
    <row r="8" spans="1:85" ht="37.799999999999997" customHeight="1" thickBot="1" x14ac:dyDescent="0.55000000000000004">
      <c r="A8" s="14" t="s">
        <v>16</v>
      </c>
      <c r="B8" s="15" t="s">
        <v>17</v>
      </c>
      <c r="C8" s="16">
        <v>1905</v>
      </c>
      <c r="D8" s="36" t="s">
        <v>7</v>
      </c>
      <c r="E8" s="247" t="s">
        <v>377</v>
      </c>
      <c r="F8" s="247">
        <v>12</v>
      </c>
      <c r="G8" s="247">
        <v>298</v>
      </c>
      <c r="H8" s="75" t="s">
        <v>194</v>
      </c>
      <c r="I8" s="363">
        <v>10</v>
      </c>
      <c r="J8" s="207">
        <v>1</v>
      </c>
      <c r="K8" s="207"/>
      <c r="L8" s="26"/>
      <c r="M8" s="207">
        <v>1</v>
      </c>
      <c r="N8" s="207"/>
      <c r="O8" s="222"/>
      <c r="P8" s="75"/>
      <c r="Q8" s="26">
        <v>24</v>
      </c>
      <c r="R8" s="26">
        <v>5</v>
      </c>
      <c r="S8" s="26"/>
      <c r="T8" s="202">
        <v>18</v>
      </c>
      <c r="U8" s="318">
        <v>39</v>
      </c>
      <c r="V8" s="26">
        <v>1</v>
      </c>
      <c r="W8" s="203">
        <v>1</v>
      </c>
      <c r="X8" s="204">
        <v>1</v>
      </c>
      <c r="Y8" s="204"/>
      <c r="Z8" s="327">
        <v>31</v>
      </c>
      <c r="AA8" s="325">
        <v>22</v>
      </c>
      <c r="AB8" s="325">
        <v>4</v>
      </c>
      <c r="AC8" s="16"/>
      <c r="AD8" s="14">
        <v>16</v>
      </c>
      <c r="AE8" s="16">
        <v>9</v>
      </c>
      <c r="AF8" s="16">
        <v>3</v>
      </c>
      <c r="AG8" s="206">
        <v>3</v>
      </c>
      <c r="AH8" s="16"/>
      <c r="AI8" s="327">
        <v>48</v>
      </c>
      <c r="AJ8" s="26">
        <v>4</v>
      </c>
      <c r="AK8" s="207">
        <v>3</v>
      </c>
      <c r="AL8" s="16">
        <v>5</v>
      </c>
      <c r="AM8" s="208">
        <v>3</v>
      </c>
      <c r="AN8" s="205"/>
      <c r="AO8" s="14">
        <v>3</v>
      </c>
      <c r="AP8" s="16">
        <v>1</v>
      </c>
      <c r="AQ8" s="26"/>
      <c r="AR8" s="26"/>
      <c r="AS8" s="14">
        <v>5</v>
      </c>
      <c r="AT8" s="16">
        <v>3</v>
      </c>
      <c r="AU8" s="26">
        <v>1</v>
      </c>
      <c r="AV8" s="205"/>
      <c r="AW8" s="14">
        <v>9</v>
      </c>
      <c r="AX8" s="26"/>
      <c r="AY8" s="138">
        <v>2</v>
      </c>
      <c r="AZ8" s="149">
        <v>3</v>
      </c>
      <c r="BA8" s="177"/>
      <c r="BB8" s="128"/>
      <c r="BC8" s="207"/>
      <c r="BD8" s="16">
        <v>3</v>
      </c>
      <c r="BE8" s="205"/>
      <c r="BF8" s="14"/>
      <c r="BG8" s="347">
        <v>3</v>
      </c>
      <c r="BH8" s="16"/>
      <c r="BI8" s="205"/>
      <c r="BJ8" s="348">
        <v>6</v>
      </c>
      <c r="BK8" s="14">
        <v>8</v>
      </c>
      <c r="BL8" s="208"/>
      <c r="BM8" s="26"/>
      <c r="BN8" s="207"/>
      <c r="BO8" s="350">
        <v>5</v>
      </c>
      <c r="BP8" s="348">
        <v>3</v>
      </c>
      <c r="BQ8" s="207">
        <v>3</v>
      </c>
      <c r="BR8" s="207"/>
      <c r="BS8" s="207"/>
      <c r="BT8" s="207"/>
      <c r="BU8" s="65"/>
    </row>
    <row r="9" spans="1:85" ht="37.200000000000003" customHeight="1" thickTop="1" x14ac:dyDescent="0.5">
      <c r="A9" s="6" t="s">
        <v>11</v>
      </c>
      <c r="B9" s="7" t="s">
        <v>18</v>
      </c>
      <c r="C9" s="6">
        <v>1908</v>
      </c>
      <c r="D9" s="37" t="s">
        <v>7</v>
      </c>
      <c r="E9" s="298" t="s">
        <v>381</v>
      </c>
      <c r="F9" s="249">
        <v>13</v>
      </c>
      <c r="G9" s="298">
        <v>427</v>
      </c>
      <c r="H9" s="76" t="s">
        <v>190</v>
      </c>
      <c r="I9" s="352">
        <v>4</v>
      </c>
      <c r="J9" s="352">
        <v>4</v>
      </c>
      <c r="K9" s="215"/>
      <c r="L9" s="315">
        <v>5</v>
      </c>
      <c r="M9" s="215"/>
      <c r="N9" s="215"/>
      <c r="O9" s="223"/>
      <c r="P9" s="76" t="s">
        <v>184</v>
      </c>
      <c r="Q9" s="315">
        <v>112</v>
      </c>
      <c r="R9" s="308">
        <v>8</v>
      </c>
      <c r="S9" s="212">
        <v>1</v>
      </c>
      <c r="T9" s="312">
        <v>26</v>
      </c>
      <c r="U9" s="210">
        <v>12</v>
      </c>
      <c r="V9" s="315">
        <v>13</v>
      </c>
      <c r="W9" s="210">
        <v>1</v>
      </c>
      <c r="X9" s="211">
        <v>2</v>
      </c>
      <c r="Y9" s="211"/>
      <c r="Z9" s="23">
        <v>14</v>
      </c>
      <c r="AA9" s="6">
        <v>12</v>
      </c>
      <c r="AB9" s="6">
        <v>3</v>
      </c>
      <c r="AC9" s="6"/>
      <c r="AD9" s="331">
        <v>45</v>
      </c>
      <c r="AE9" s="332">
        <v>35</v>
      </c>
      <c r="AF9" s="6">
        <v>5</v>
      </c>
      <c r="AG9" s="213">
        <v>3</v>
      </c>
      <c r="AH9" s="6"/>
      <c r="AI9" s="329">
        <v>45</v>
      </c>
      <c r="AJ9" s="308">
        <v>13</v>
      </c>
      <c r="AK9" s="215">
        <v>15</v>
      </c>
      <c r="AL9" s="332">
        <v>17</v>
      </c>
      <c r="AM9" s="214">
        <v>3</v>
      </c>
      <c r="AN9" s="216"/>
      <c r="AO9" s="273">
        <v>18</v>
      </c>
      <c r="AP9" s="166">
        <v>1</v>
      </c>
      <c r="AQ9" s="168"/>
      <c r="AR9" s="212"/>
      <c r="AS9" s="23">
        <v>4</v>
      </c>
      <c r="AT9" s="6">
        <v>2</v>
      </c>
      <c r="AU9" s="168"/>
      <c r="AV9" s="178"/>
      <c r="AW9" s="23">
        <v>5</v>
      </c>
      <c r="AX9" s="212"/>
      <c r="AY9" s="129">
        <v>1</v>
      </c>
      <c r="AZ9" s="150">
        <v>4</v>
      </c>
      <c r="BA9" s="174">
        <v>1</v>
      </c>
      <c r="BB9" s="130">
        <v>1</v>
      </c>
      <c r="BC9" s="215"/>
      <c r="BD9" s="6"/>
      <c r="BE9" s="216">
        <v>1</v>
      </c>
      <c r="BF9" s="23"/>
      <c r="BG9" s="214"/>
      <c r="BH9" s="6"/>
      <c r="BI9" s="216"/>
      <c r="BJ9" s="215">
        <v>3</v>
      </c>
      <c r="BK9" s="23"/>
      <c r="BL9" s="214"/>
      <c r="BM9" s="212"/>
      <c r="BN9" s="215"/>
      <c r="BO9" s="216"/>
      <c r="BP9" s="215"/>
      <c r="BQ9" s="215">
        <v>1</v>
      </c>
      <c r="BR9" s="215"/>
      <c r="BS9" s="215"/>
      <c r="BT9" s="215"/>
      <c r="BU9" s="65"/>
    </row>
    <row r="10" spans="1:85" ht="34.799999999999997" customHeight="1" x14ac:dyDescent="0.5">
      <c r="A10" s="2" t="s">
        <v>19</v>
      </c>
      <c r="B10" s="3" t="s">
        <v>20</v>
      </c>
      <c r="C10" s="2">
        <v>1908</v>
      </c>
      <c r="D10" s="35" t="s">
        <v>15</v>
      </c>
      <c r="E10" s="249" t="s">
        <v>384</v>
      </c>
      <c r="F10" s="248">
        <v>4</v>
      </c>
      <c r="G10" s="249">
        <v>304</v>
      </c>
      <c r="H10" s="74" t="s">
        <v>191</v>
      </c>
      <c r="I10" s="200">
        <v>1</v>
      </c>
      <c r="J10" s="200">
        <v>1</v>
      </c>
      <c r="K10" s="200"/>
      <c r="L10" s="198">
        <v>2</v>
      </c>
      <c r="M10" s="200"/>
      <c r="N10" s="200"/>
      <c r="O10" s="221"/>
      <c r="P10" s="74" t="s">
        <v>197</v>
      </c>
      <c r="Q10" s="198">
        <v>35</v>
      </c>
      <c r="R10" s="198">
        <v>5</v>
      </c>
      <c r="S10" s="198">
        <v>2</v>
      </c>
      <c r="T10" s="317">
        <v>53</v>
      </c>
      <c r="U10" s="313">
        <v>15</v>
      </c>
      <c r="V10" s="198">
        <v>2</v>
      </c>
      <c r="W10" s="195"/>
      <c r="X10" s="196"/>
      <c r="Y10" s="196"/>
      <c r="Z10" s="13">
        <v>14</v>
      </c>
      <c r="AA10" s="2">
        <v>15</v>
      </c>
      <c r="AB10" s="328">
        <v>9</v>
      </c>
      <c r="AC10" s="2">
        <v>1</v>
      </c>
      <c r="AD10" s="13">
        <v>18</v>
      </c>
      <c r="AE10" s="324">
        <v>18</v>
      </c>
      <c r="AF10" s="2">
        <v>1</v>
      </c>
      <c r="AG10" s="199">
        <v>1</v>
      </c>
      <c r="AH10" s="328">
        <v>4</v>
      </c>
      <c r="AI10" s="13">
        <v>22</v>
      </c>
      <c r="AJ10" s="198">
        <v>2</v>
      </c>
      <c r="AK10" s="335">
        <v>18</v>
      </c>
      <c r="AL10" s="324">
        <v>8</v>
      </c>
      <c r="AM10" s="201">
        <v>2</v>
      </c>
      <c r="AN10" s="197">
        <v>1</v>
      </c>
      <c r="AO10" s="13">
        <v>3</v>
      </c>
      <c r="AP10" s="2">
        <v>3</v>
      </c>
      <c r="AQ10" s="198"/>
      <c r="AR10" s="198"/>
      <c r="AS10" s="13">
        <v>5</v>
      </c>
      <c r="AT10" s="2">
        <v>1</v>
      </c>
      <c r="AU10" s="334">
        <v>3</v>
      </c>
      <c r="AV10" s="338">
        <v>1</v>
      </c>
      <c r="AW10" s="321">
        <v>19</v>
      </c>
      <c r="AX10" s="198"/>
      <c r="AY10" s="256">
        <v>4</v>
      </c>
      <c r="AZ10" s="148">
        <v>1</v>
      </c>
      <c r="BA10" s="175">
        <v>1</v>
      </c>
      <c r="BB10" s="127"/>
      <c r="BC10" s="200">
        <v>1</v>
      </c>
      <c r="BD10" s="2"/>
      <c r="BE10" s="197">
        <v>1</v>
      </c>
      <c r="BF10" s="13"/>
      <c r="BG10" s="201">
        <v>1</v>
      </c>
      <c r="BH10" s="2"/>
      <c r="BI10" s="197"/>
      <c r="BJ10" s="200"/>
      <c r="BK10" s="13">
        <v>6</v>
      </c>
      <c r="BL10" s="201"/>
      <c r="BM10" s="198"/>
      <c r="BN10" s="200"/>
      <c r="BO10" s="337">
        <v>4</v>
      </c>
      <c r="BP10" s="200"/>
      <c r="BQ10" s="200"/>
      <c r="BR10" s="340">
        <v>4</v>
      </c>
      <c r="BS10" s="200"/>
      <c r="BT10" s="200"/>
      <c r="BU10" s="65"/>
    </row>
    <row r="11" spans="1:85" ht="39.6" customHeight="1" x14ac:dyDescent="0.5">
      <c r="A11" s="2" t="s">
        <v>23</v>
      </c>
      <c r="B11" s="3" t="s">
        <v>24</v>
      </c>
      <c r="C11" s="2">
        <v>1909</v>
      </c>
      <c r="D11" s="4" t="s">
        <v>15</v>
      </c>
      <c r="E11" s="248" t="s">
        <v>388</v>
      </c>
      <c r="F11" s="248">
        <v>4</v>
      </c>
      <c r="G11" s="248">
        <v>145</v>
      </c>
      <c r="H11" s="74"/>
      <c r="I11" s="200"/>
      <c r="J11" s="200">
        <v>1</v>
      </c>
      <c r="K11" s="200"/>
      <c r="L11" s="198">
        <v>3</v>
      </c>
      <c r="M11" s="200"/>
      <c r="N11" s="200"/>
      <c r="O11" s="221"/>
      <c r="P11" s="74" t="s">
        <v>195</v>
      </c>
      <c r="Q11" s="198">
        <v>26</v>
      </c>
      <c r="R11" s="198">
        <v>1</v>
      </c>
      <c r="S11" s="198"/>
      <c r="T11" s="194">
        <v>9</v>
      </c>
      <c r="U11" s="195">
        <v>4</v>
      </c>
      <c r="V11" s="198"/>
      <c r="W11" s="195"/>
      <c r="X11" s="320">
        <v>4</v>
      </c>
      <c r="Y11" s="196"/>
      <c r="Z11" s="13">
        <v>9</v>
      </c>
      <c r="AA11" s="2">
        <v>4</v>
      </c>
      <c r="AB11" s="2">
        <v>2</v>
      </c>
      <c r="AC11" s="2"/>
      <c r="AD11" s="13">
        <v>8</v>
      </c>
      <c r="AE11" s="324">
        <v>18</v>
      </c>
      <c r="AF11" s="2">
        <v>3</v>
      </c>
      <c r="AG11" s="199">
        <v>3</v>
      </c>
      <c r="AH11" s="2"/>
      <c r="AI11" s="13">
        <v>15</v>
      </c>
      <c r="AJ11" s="198">
        <v>3</v>
      </c>
      <c r="AK11" s="200">
        <v>5</v>
      </c>
      <c r="AL11" s="2">
        <v>6</v>
      </c>
      <c r="AM11" s="201"/>
      <c r="AN11" s="197">
        <v>1</v>
      </c>
      <c r="AO11" s="13">
        <v>6</v>
      </c>
      <c r="AP11" s="2">
        <v>3</v>
      </c>
      <c r="AQ11" s="198"/>
      <c r="AR11" s="198"/>
      <c r="AS11" s="13"/>
      <c r="AT11" s="2">
        <v>1</v>
      </c>
      <c r="AU11" s="198"/>
      <c r="AV11" s="197"/>
      <c r="AW11" s="13">
        <v>5</v>
      </c>
      <c r="AX11" s="198"/>
      <c r="AY11" s="126">
        <v>2</v>
      </c>
      <c r="AZ11" s="255">
        <v>4</v>
      </c>
      <c r="BA11" s="175"/>
      <c r="BB11" s="127"/>
      <c r="BC11" s="200">
        <v>2</v>
      </c>
      <c r="BD11" s="2"/>
      <c r="BE11" s="197"/>
      <c r="BF11" s="13"/>
      <c r="BG11" s="201">
        <v>1</v>
      </c>
      <c r="BH11" s="2"/>
      <c r="BI11" s="197"/>
      <c r="BJ11" s="200"/>
      <c r="BK11" s="13"/>
      <c r="BL11" s="201"/>
      <c r="BM11" s="198"/>
      <c r="BN11" s="200"/>
      <c r="BO11" s="197"/>
      <c r="BP11" s="200"/>
      <c r="BQ11" s="200"/>
      <c r="BR11" s="200"/>
      <c r="BS11" s="200"/>
      <c r="BT11" s="200"/>
      <c r="BU11" s="65"/>
    </row>
    <row r="12" spans="1:85" ht="37.799999999999997" customHeight="1" x14ac:dyDescent="0.5">
      <c r="A12" s="2" t="s">
        <v>21</v>
      </c>
      <c r="B12" s="3" t="s">
        <v>22</v>
      </c>
      <c r="C12" s="2">
        <v>1909</v>
      </c>
      <c r="D12" s="4" t="s">
        <v>7</v>
      </c>
      <c r="E12" s="248" t="s">
        <v>393</v>
      </c>
      <c r="F12" s="248">
        <v>9</v>
      </c>
      <c r="G12" s="248">
        <v>146</v>
      </c>
      <c r="H12" s="74" t="s">
        <v>186</v>
      </c>
      <c r="I12" s="200"/>
      <c r="J12" s="200">
        <v>3</v>
      </c>
      <c r="K12" s="200"/>
      <c r="L12" s="309">
        <v>4</v>
      </c>
      <c r="M12" s="200"/>
      <c r="N12" s="340">
        <v>2</v>
      </c>
      <c r="O12" s="221"/>
      <c r="P12" s="74" t="s">
        <v>196</v>
      </c>
      <c r="Q12" s="198">
        <v>26</v>
      </c>
      <c r="R12" s="198">
        <v>3</v>
      </c>
      <c r="S12" s="198">
        <v>1</v>
      </c>
      <c r="T12" s="194">
        <v>10</v>
      </c>
      <c r="U12" s="195">
        <v>12</v>
      </c>
      <c r="V12" s="198"/>
      <c r="W12" s="195">
        <v>2</v>
      </c>
      <c r="X12" s="196">
        <v>2</v>
      </c>
      <c r="Y12" s="320">
        <v>2</v>
      </c>
      <c r="Z12" s="13">
        <v>10</v>
      </c>
      <c r="AA12" s="2">
        <v>8</v>
      </c>
      <c r="AB12" s="2"/>
      <c r="AC12" s="2">
        <v>1</v>
      </c>
      <c r="AD12" s="13">
        <v>17</v>
      </c>
      <c r="AE12" s="2">
        <v>13</v>
      </c>
      <c r="AF12" s="2">
        <v>1</v>
      </c>
      <c r="AG12" s="199">
        <v>2</v>
      </c>
      <c r="AH12" s="2">
        <v>2</v>
      </c>
      <c r="AI12" s="13">
        <v>11</v>
      </c>
      <c r="AJ12" s="198">
        <v>1</v>
      </c>
      <c r="AK12" s="200">
        <v>2</v>
      </c>
      <c r="AL12" s="2">
        <v>1</v>
      </c>
      <c r="AM12" s="201"/>
      <c r="AN12" s="197"/>
      <c r="AO12" s="341">
        <v>7</v>
      </c>
      <c r="AP12" s="2">
        <v>3</v>
      </c>
      <c r="AQ12" s="198"/>
      <c r="AR12" s="198"/>
      <c r="AS12" s="13"/>
      <c r="AT12" s="2"/>
      <c r="AU12" s="198"/>
      <c r="AV12" s="197"/>
      <c r="AW12" s="13">
        <v>4</v>
      </c>
      <c r="AX12" s="198"/>
      <c r="AY12" s="126">
        <v>2</v>
      </c>
      <c r="AZ12" s="148">
        <v>1</v>
      </c>
      <c r="BA12" s="175"/>
      <c r="BB12" s="127"/>
      <c r="BC12" s="200">
        <v>1</v>
      </c>
      <c r="BD12" s="2"/>
      <c r="BE12" s="197">
        <v>1</v>
      </c>
      <c r="BF12" s="13"/>
      <c r="BG12" s="201"/>
      <c r="BH12" s="2"/>
      <c r="BI12" s="197"/>
      <c r="BJ12" s="200"/>
      <c r="BK12" s="13"/>
      <c r="BL12" s="201"/>
      <c r="BM12" s="198"/>
      <c r="BN12" s="200"/>
      <c r="BO12" s="197"/>
      <c r="BP12" s="200"/>
      <c r="BQ12" s="200"/>
      <c r="BR12" s="200"/>
      <c r="BS12" s="200"/>
      <c r="BT12" s="200"/>
      <c r="BU12" s="65"/>
    </row>
    <row r="13" spans="1:85" ht="37.799999999999997" customHeight="1" x14ac:dyDescent="0.5">
      <c r="A13" s="2" t="s">
        <v>25</v>
      </c>
      <c r="B13" s="3" t="s">
        <v>26</v>
      </c>
      <c r="C13" s="2">
        <v>1910</v>
      </c>
      <c r="D13" s="35" t="s">
        <v>7</v>
      </c>
      <c r="E13" s="248" t="s">
        <v>398</v>
      </c>
      <c r="F13" s="248">
        <v>1</v>
      </c>
      <c r="G13" s="248">
        <v>84</v>
      </c>
      <c r="H13" s="74" t="s">
        <v>194</v>
      </c>
      <c r="I13" s="200"/>
      <c r="J13" s="200">
        <v>1</v>
      </c>
      <c r="K13" s="200"/>
      <c r="L13" s="198"/>
      <c r="M13" s="200"/>
      <c r="N13" s="200"/>
      <c r="O13" s="221"/>
      <c r="P13" s="74" t="s">
        <v>193</v>
      </c>
      <c r="Q13" s="198">
        <v>4</v>
      </c>
      <c r="R13" s="198">
        <v>1</v>
      </c>
      <c r="S13" s="198">
        <v>1</v>
      </c>
      <c r="T13" s="194">
        <v>6</v>
      </c>
      <c r="U13" s="195">
        <v>1</v>
      </c>
      <c r="V13" s="198"/>
      <c r="W13" s="195">
        <v>1</v>
      </c>
      <c r="X13" s="196"/>
      <c r="Y13" s="196"/>
      <c r="Z13" s="13">
        <v>2</v>
      </c>
      <c r="AA13" s="2">
        <v>1</v>
      </c>
      <c r="AB13" s="2"/>
      <c r="AC13" s="2"/>
      <c r="AD13" s="13"/>
      <c r="AE13" s="2">
        <v>1</v>
      </c>
      <c r="AF13" s="2"/>
      <c r="AG13" s="199"/>
      <c r="AH13" s="2">
        <v>1</v>
      </c>
      <c r="AI13" s="13">
        <v>4</v>
      </c>
      <c r="AJ13" s="198">
        <v>2</v>
      </c>
      <c r="AK13" s="200">
        <v>7</v>
      </c>
      <c r="AL13" s="2">
        <v>4</v>
      </c>
      <c r="AM13" s="201"/>
      <c r="AN13" s="197"/>
      <c r="AO13" s="13">
        <v>4</v>
      </c>
      <c r="AP13" s="328">
        <v>10</v>
      </c>
      <c r="AQ13" s="198">
        <v>1</v>
      </c>
      <c r="AR13" s="198"/>
      <c r="AS13" s="341">
        <v>13</v>
      </c>
      <c r="AT13" s="328">
        <v>5</v>
      </c>
      <c r="AU13" s="198"/>
      <c r="AV13" s="197"/>
      <c r="AW13" s="13"/>
      <c r="AX13" s="198"/>
      <c r="AY13" s="126"/>
      <c r="AZ13" s="148"/>
      <c r="BA13" s="175"/>
      <c r="BB13" s="127"/>
      <c r="BC13" s="200"/>
      <c r="BD13" s="2"/>
      <c r="BE13" s="197"/>
      <c r="BF13" s="13"/>
      <c r="BG13" s="201"/>
      <c r="BH13" s="2"/>
      <c r="BI13" s="197"/>
      <c r="BJ13" s="200">
        <v>1</v>
      </c>
      <c r="BK13" s="13">
        <v>1</v>
      </c>
      <c r="BL13" s="201"/>
      <c r="BM13" s="198"/>
      <c r="BN13" s="200">
        <v>1</v>
      </c>
      <c r="BO13" s="338">
        <v>12</v>
      </c>
      <c r="BP13" s="200"/>
      <c r="BQ13" s="200"/>
      <c r="BR13" s="200"/>
      <c r="BS13" s="200"/>
      <c r="BT13" s="200"/>
      <c r="BU13" s="65"/>
    </row>
    <row r="14" spans="1:85" ht="34.799999999999997" customHeight="1" thickBot="1" x14ac:dyDescent="0.55000000000000004">
      <c r="A14" s="21" t="s">
        <v>27</v>
      </c>
      <c r="B14" s="19" t="s">
        <v>28</v>
      </c>
      <c r="C14" s="18">
        <v>1910</v>
      </c>
      <c r="D14" s="38" t="s">
        <v>29</v>
      </c>
      <c r="E14" s="247" t="s">
        <v>403</v>
      </c>
      <c r="F14" s="247">
        <v>6</v>
      </c>
      <c r="G14" s="247">
        <v>155</v>
      </c>
      <c r="H14" s="75" t="s">
        <v>197</v>
      </c>
      <c r="I14" s="218">
        <v>3</v>
      </c>
      <c r="J14" s="218">
        <v>2</v>
      </c>
      <c r="K14" s="218"/>
      <c r="L14" s="27">
        <v>1</v>
      </c>
      <c r="M14" s="218"/>
      <c r="N14" s="218"/>
      <c r="O14" s="224"/>
      <c r="P14" s="75" t="s">
        <v>190</v>
      </c>
      <c r="Q14" s="27">
        <v>37</v>
      </c>
      <c r="R14" s="27">
        <v>3</v>
      </c>
      <c r="S14" s="27"/>
      <c r="T14" s="202">
        <v>9</v>
      </c>
      <c r="U14" s="203">
        <v>7</v>
      </c>
      <c r="V14" s="314">
        <v>4</v>
      </c>
      <c r="W14" s="203"/>
      <c r="X14" s="203"/>
      <c r="Y14" s="203"/>
      <c r="Z14" s="31">
        <v>16</v>
      </c>
      <c r="AA14" s="18">
        <v>7</v>
      </c>
      <c r="AB14" s="18"/>
      <c r="AC14" s="18"/>
      <c r="AD14" s="31">
        <v>3</v>
      </c>
      <c r="AE14" s="18">
        <v>10</v>
      </c>
      <c r="AF14" s="18">
        <v>2</v>
      </c>
      <c r="AG14" s="217"/>
      <c r="AH14" s="18">
        <v>2</v>
      </c>
      <c r="AI14" s="31">
        <v>18</v>
      </c>
      <c r="AJ14" s="27">
        <v>6</v>
      </c>
      <c r="AK14" s="218"/>
      <c r="AL14" s="18">
        <v>4</v>
      </c>
      <c r="AM14" s="219"/>
      <c r="AN14" s="32">
        <v>1</v>
      </c>
      <c r="AO14" s="31">
        <v>1</v>
      </c>
      <c r="AP14" s="18"/>
      <c r="AQ14" s="27"/>
      <c r="AR14" s="27"/>
      <c r="AS14" s="31">
        <v>2</v>
      </c>
      <c r="AT14" s="18"/>
      <c r="AU14" s="27"/>
      <c r="AV14" s="32"/>
      <c r="AW14" s="31">
        <v>4</v>
      </c>
      <c r="AX14" s="27"/>
      <c r="AY14" s="131">
        <v>1</v>
      </c>
      <c r="AZ14" s="151"/>
      <c r="BA14" s="226"/>
      <c r="BB14" s="132"/>
      <c r="BC14" s="345">
        <v>9</v>
      </c>
      <c r="BD14" s="346">
        <v>6</v>
      </c>
      <c r="BE14" s="32"/>
      <c r="BF14" s="31"/>
      <c r="BG14" s="219"/>
      <c r="BH14" s="18"/>
      <c r="BI14" s="32"/>
      <c r="BJ14" s="218">
        <v>2</v>
      </c>
      <c r="BK14" s="31"/>
      <c r="BL14" s="219"/>
      <c r="BM14" s="27"/>
      <c r="BN14" s="218"/>
      <c r="BO14" s="32"/>
      <c r="BP14" s="218">
        <v>1</v>
      </c>
      <c r="BQ14" s="218"/>
      <c r="BR14" s="218"/>
      <c r="BS14" s="218"/>
      <c r="BT14" s="218"/>
      <c r="BU14" s="65"/>
    </row>
    <row r="15" spans="1:85" ht="37.799999999999997" customHeight="1" thickTop="1" x14ac:dyDescent="0.5">
      <c r="A15" s="9" t="s">
        <v>30</v>
      </c>
      <c r="B15" s="10" t="s">
        <v>31</v>
      </c>
      <c r="C15" s="10">
        <v>1911</v>
      </c>
      <c r="D15" s="39" t="s">
        <v>7</v>
      </c>
      <c r="E15" s="248" t="s">
        <v>408</v>
      </c>
      <c r="F15" s="248">
        <v>10</v>
      </c>
      <c r="G15" s="248">
        <v>177</v>
      </c>
      <c r="H15" s="76" t="s">
        <v>186</v>
      </c>
      <c r="I15" s="192">
        <v>2</v>
      </c>
      <c r="J15" s="192">
        <v>1</v>
      </c>
      <c r="K15" s="192"/>
      <c r="L15" s="190">
        <v>1</v>
      </c>
      <c r="M15" s="351">
        <v>6</v>
      </c>
      <c r="N15" s="192"/>
      <c r="O15" s="220"/>
      <c r="P15" s="76" t="s">
        <v>191</v>
      </c>
      <c r="Q15" s="190">
        <v>40</v>
      </c>
      <c r="R15" s="190">
        <v>3</v>
      </c>
      <c r="S15" s="190"/>
      <c r="T15" s="209">
        <v>11</v>
      </c>
      <c r="U15" s="210">
        <v>6</v>
      </c>
      <c r="V15" s="190">
        <v>3</v>
      </c>
      <c r="W15" s="210">
        <v>3</v>
      </c>
      <c r="X15" s="211">
        <v>2</v>
      </c>
      <c r="Y15" s="211"/>
      <c r="Z15" s="9">
        <v>8</v>
      </c>
      <c r="AA15" s="326">
        <v>19</v>
      </c>
      <c r="AB15" s="11">
        <v>3</v>
      </c>
      <c r="AC15" s="11"/>
      <c r="AD15" s="9">
        <v>1</v>
      </c>
      <c r="AE15" s="11">
        <v>3</v>
      </c>
      <c r="AF15" s="11">
        <v>1</v>
      </c>
      <c r="AG15" s="191">
        <v>1</v>
      </c>
      <c r="AH15" s="11"/>
      <c r="AI15" s="9">
        <v>23</v>
      </c>
      <c r="AJ15" s="190">
        <v>1</v>
      </c>
      <c r="AK15" s="336">
        <v>17</v>
      </c>
      <c r="AL15" s="11">
        <v>4</v>
      </c>
      <c r="AM15" s="193"/>
      <c r="AN15" s="189">
        <v>1</v>
      </c>
      <c r="AO15" s="9">
        <v>4</v>
      </c>
      <c r="AP15" s="11">
        <v>3</v>
      </c>
      <c r="AQ15" s="190"/>
      <c r="AR15" s="190"/>
      <c r="AS15" s="9">
        <v>8</v>
      </c>
      <c r="AT15" s="11">
        <v>2</v>
      </c>
      <c r="AU15" s="190">
        <v>1</v>
      </c>
      <c r="AV15" s="189"/>
      <c r="AW15" s="9">
        <v>1</v>
      </c>
      <c r="AX15" s="190"/>
      <c r="AY15" s="124"/>
      <c r="AZ15" s="147"/>
      <c r="BA15" s="225"/>
      <c r="BB15" s="125"/>
      <c r="BC15" s="192">
        <v>2</v>
      </c>
      <c r="BD15" s="11"/>
      <c r="BE15" s="189"/>
      <c r="BF15" s="322">
        <v>2</v>
      </c>
      <c r="BG15" s="193"/>
      <c r="BH15" s="11"/>
      <c r="BI15" s="189">
        <v>1</v>
      </c>
      <c r="BJ15" s="192">
        <v>3</v>
      </c>
      <c r="BK15" s="9"/>
      <c r="BL15" s="193"/>
      <c r="BM15" s="190"/>
      <c r="BN15" s="192"/>
      <c r="BO15" s="189"/>
      <c r="BP15" s="192"/>
      <c r="BQ15" s="192"/>
      <c r="BR15" s="192"/>
      <c r="BS15" s="192"/>
      <c r="BT15" s="192"/>
      <c r="BU15" s="65"/>
    </row>
    <row r="16" spans="1:85" ht="33.6" customHeight="1" x14ac:dyDescent="0.5">
      <c r="A16" s="13" t="s">
        <v>32</v>
      </c>
      <c r="B16" s="3" t="s">
        <v>33</v>
      </c>
      <c r="C16" s="2">
        <v>1912</v>
      </c>
      <c r="D16" s="35" t="s">
        <v>7</v>
      </c>
      <c r="E16" s="248" t="s">
        <v>413</v>
      </c>
      <c r="F16" s="248">
        <v>3</v>
      </c>
      <c r="G16" s="248">
        <v>140</v>
      </c>
      <c r="H16" s="74" t="s">
        <v>187</v>
      </c>
      <c r="I16" s="200">
        <v>1</v>
      </c>
      <c r="J16" s="200">
        <v>1</v>
      </c>
      <c r="K16" s="200"/>
      <c r="L16" s="198"/>
      <c r="M16" s="200"/>
      <c r="N16" s="200"/>
      <c r="O16" s="221">
        <v>1</v>
      </c>
      <c r="P16" s="74"/>
      <c r="Q16" s="198">
        <v>22</v>
      </c>
      <c r="R16" s="198">
        <v>4</v>
      </c>
      <c r="S16" s="198"/>
      <c r="T16" s="194">
        <v>14</v>
      </c>
      <c r="U16" s="195">
        <v>8</v>
      </c>
      <c r="V16" s="198"/>
      <c r="W16" s="195">
        <v>1</v>
      </c>
      <c r="X16" s="196"/>
      <c r="Y16" s="196">
        <v>1</v>
      </c>
      <c r="Z16" s="13">
        <v>11</v>
      </c>
      <c r="AA16" s="2">
        <v>7</v>
      </c>
      <c r="AB16" s="2">
        <v>1</v>
      </c>
      <c r="AC16" s="2"/>
      <c r="AD16" s="13">
        <v>6</v>
      </c>
      <c r="AE16" s="2">
        <v>2</v>
      </c>
      <c r="AF16" s="2">
        <v>1</v>
      </c>
      <c r="AG16" s="199">
        <v>3</v>
      </c>
      <c r="AH16" s="2"/>
      <c r="AI16" s="13">
        <v>7</v>
      </c>
      <c r="AJ16" s="198">
        <v>7</v>
      </c>
      <c r="AK16" s="200">
        <v>3</v>
      </c>
      <c r="AL16" s="2"/>
      <c r="AM16" s="201">
        <v>2</v>
      </c>
      <c r="AN16" s="197"/>
      <c r="AO16" s="13">
        <v>2</v>
      </c>
      <c r="AP16" s="2">
        <v>1</v>
      </c>
      <c r="AQ16" s="198"/>
      <c r="AR16" s="198"/>
      <c r="AS16" s="341">
        <v>12</v>
      </c>
      <c r="AT16" s="2">
        <v>2</v>
      </c>
      <c r="AU16" s="198"/>
      <c r="AV16" s="197"/>
      <c r="AW16" s="13">
        <v>10</v>
      </c>
      <c r="AX16" s="198">
        <v>1</v>
      </c>
      <c r="AY16" s="126">
        <v>2</v>
      </c>
      <c r="AZ16" s="148">
        <v>1</v>
      </c>
      <c r="BA16" s="175"/>
      <c r="BB16" s="127">
        <v>1</v>
      </c>
      <c r="BC16" s="200">
        <v>2</v>
      </c>
      <c r="BD16" s="2">
        <v>1</v>
      </c>
      <c r="BE16" s="197"/>
      <c r="BF16" s="13"/>
      <c r="BG16" s="201">
        <v>3</v>
      </c>
      <c r="BH16" s="2"/>
      <c r="BI16" s="197">
        <v>1</v>
      </c>
      <c r="BJ16" s="200">
        <v>1</v>
      </c>
      <c r="BK16" s="13"/>
      <c r="BL16" s="201"/>
      <c r="BM16" s="198"/>
      <c r="BN16" s="200"/>
      <c r="BO16" s="197"/>
      <c r="BP16" s="200"/>
      <c r="BQ16" s="200"/>
      <c r="BR16" s="200"/>
      <c r="BS16" s="200"/>
      <c r="BT16" s="200"/>
      <c r="BU16" s="65"/>
    </row>
    <row r="17" spans="1:85" ht="37.799999999999997" customHeight="1" x14ac:dyDescent="0.5">
      <c r="A17" s="13" t="s">
        <v>34</v>
      </c>
      <c r="B17" s="3" t="s">
        <v>35</v>
      </c>
      <c r="C17" s="2">
        <v>1913</v>
      </c>
      <c r="D17" s="35" t="s">
        <v>7</v>
      </c>
      <c r="E17" s="249" t="s">
        <v>417</v>
      </c>
      <c r="F17" s="249">
        <v>16</v>
      </c>
      <c r="G17" s="249">
        <v>373</v>
      </c>
      <c r="H17" s="74" t="s">
        <v>197</v>
      </c>
      <c r="I17" s="200">
        <v>3</v>
      </c>
      <c r="J17" s="340">
        <v>10</v>
      </c>
      <c r="K17" s="200"/>
      <c r="L17" s="198"/>
      <c r="M17" s="200">
        <v>3</v>
      </c>
      <c r="N17" s="200"/>
      <c r="O17" s="221"/>
      <c r="P17" s="74"/>
      <c r="Q17" s="309">
        <v>44</v>
      </c>
      <c r="R17" s="198">
        <v>3</v>
      </c>
      <c r="S17" s="198"/>
      <c r="T17" s="311">
        <v>32</v>
      </c>
      <c r="U17" s="313">
        <v>20</v>
      </c>
      <c r="V17" s="309">
        <v>5</v>
      </c>
      <c r="W17" s="319">
        <v>5</v>
      </c>
      <c r="X17" s="196">
        <v>1</v>
      </c>
      <c r="Y17" s="196"/>
      <c r="Z17" s="321">
        <v>25</v>
      </c>
      <c r="AA17" s="328">
        <v>33</v>
      </c>
      <c r="AB17" s="2">
        <v>2</v>
      </c>
      <c r="AC17" s="2"/>
      <c r="AD17" s="321">
        <v>20</v>
      </c>
      <c r="AE17" s="324">
        <v>20</v>
      </c>
      <c r="AF17" s="328">
        <v>14</v>
      </c>
      <c r="AG17" s="199"/>
      <c r="AH17" s="2">
        <v>1</v>
      </c>
      <c r="AI17" s="13">
        <v>21</v>
      </c>
      <c r="AJ17" s="334">
        <v>14</v>
      </c>
      <c r="AK17" s="335">
        <v>18</v>
      </c>
      <c r="AL17" s="324">
        <v>8</v>
      </c>
      <c r="AM17" s="201">
        <v>1</v>
      </c>
      <c r="AN17" s="197">
        <v>3</v>
      </c>
      <c r="AO17" s="341">
        <v>13</v>
      </c>
      <c r="AP17" s="2">
        <v>1</v>
      </c>
      <c r="AQ17" s="198"/>
      <c r="AR17" s="198"/>
      <c r="AS17" s="13">
        <v>7</v>
      </c>
      <c r="AT17" s="342">
        <v>4</v>
      </c>
      <c r="AU17" s="198"/>
      <c r="AV17" s="197"/>
      <c r="AW17" s="321">
        <v>20</v>
      </c>
      <c r="AX17" s="198"/>
      <c r="AY17" s="293">
        <v>6</v>
      </c>
      <c r="AZ17" s="291">
        <v>5</v>
      </c>
      <c r="BA17" s="175">
        <v>1</v>
      </c>
      <c r="BB17" s="127"/>
      <c r="BC17" s="200">
        <v>2</v>
      </c>
      <c r="BD17" s="2"/>
      <c r="BE17" s="197"/>
      <c r="BF17" s="13"/>
      <c r="BG17" s="339">
        <v>7</v>
      </c>
      <c r="BH17" s="2"/>
      <c r="BI17" s="197"/>
      <c r="BJ17" s="340">
        <v>8</v>
      </c>
      <c r="BK17" s="13"/>
      <c r="BL17" s="201"/>
      <c r="BM17" s="198"/>
      <c r="BN17" s="200"/>
      <c r="BO17" s="197">
        <v>3</v>
      </c>
      <c r="BP17" s="340">
        <v>4</v>
      </c>
      <c r="BQ17" s="200"/>
      <c r="BR17" s="200">
        <v>2</v>
      </c>
      <c r="BS17" s="200"/>
      <c r="BT17" s="200"/>
      <c r="BU17" s="65"/>
    </row>
    <row r="18" spans="1:85" ht="38.4" customHeight="1" thickBot="1" x14ac:dyDescent="0.55000000000000004">
      <c r="A18" s="14" t="s">
        <v>36</v>
      </c>
      <c r="B18" s="15" t="s">
        <v>37</v>
      </c>
      <c r="C18" s="16">
        <v>1914</v>
      </c>
      <c r="D18" s="36" t="s">
        <v>15</v>
      </c>
      <c r="E18" s="247" t="s">
        <v>421</v>
      </c>
      <c r="F18" s="247">
        <v>2</v>
      </c>
      <c r="G18" s="247">
        <v>177</v>
      </c>
      <c r="H18" s="81" t="s">
        <v>191</v>
      </c>
      <c r="I18" s="207">
        <v>1</v>
      </c>
      <c r="J18" s="207"/>
      <c r="K18" s="207"/>
      <c r="L18" s="26">
        <v>1</v>
      </c>
      <c r="M18" s="207"/>
      <c r="N18" s="207"/>
      <c r="O18" s="222"/>
      <c r="P18" s="81"/>
      <c r="Q18" s="26">
        <v>20</v>
      </c>
      <c r="R18" s="26">
        <v>3</v>
      </c>
      <c r="S18" s="26">
        <v>1</v>
      </c>
      <c r="T18" s="202">
        <v>19</v>
      </c>
      <c r="U18" s="203">
        <v>2</v>
      </c>
      <c r="V18" s="26">
        <v>2</v>
      </c>
      <c r="W18" s="203">
        <v>1</v>
      </c>
      <c r="X18" s="204">
        <v>1</v>
      </c>
      <c r="Y18" s="204"/>
      <c r="Z18" s="14">
        <v>20</v>
      </c>
      <c r="AA18" s="16">
        <v>9</v>
      </c>
      <c r="AB18" s="16"/>
      <c r="AC18" s="16"/>
      <c r="AD18" s="14">
        <v>12</v>
      </c>
      <c r="AE18" s="16">
        <v>5</v>
      </c>
      <c r="AF18" s="16"/>
      <c r="AG18" s="206">
        <v>2</v>
      </c>
      <c r="AH18" s="16"/>
      <c r="AI18" s="323">
        <v>38</v>
      </c>
      <c r="AJ18" s="26">
        <v>4</v>
      </c>
      <c r="AK18" s="207">
        <v>9</v>
      </c>
      <c r="AL18" s="16">
        <v>7</v>
      </c>
      <c r="AM18" s="208"/>
      <c r="AN18" s="205">
        <v>1</v>
      </c>
      <c r="AO18" s="14">
        <v>5</v>
      </c>
      <c r="AP18" s="16">
        <v>1</v>
      </c>
      <c r="AQ18" s="26"/>
      <c r="AR18" s="26"/>
      <c r="AS18" s="14">
        <v>3</v>
      </c>
      <c r="AT18" s="16">
        <v>1</v>
      </c>
      <c r="AU18" s="26"/>
      <c r="AV18" s="205"/>
      <c r="AW18" s="14">
        <v>2</v>
      </c>
      <c r="AX18" s="26"/>
      <c r="AY18" s="138">
        <v>1</v>
      </c>
      <c r="AZ18" s="149"/>
      <c r="BA18" s="177"/>
      <c r="BB18" s="128"/>
      <c r="BC18" s="207"/>
      <c r="BD18" s="16"/>
      <c r="BE18" s="205">
        <v>1</v>
      </c>
      <c r="BF18" s="14"/>
      <c r="BG18" s="208"/>
      <c r="BH18" s="16"/>
      <c r="BI18" s="205"/>
      <c r="BJ18" s="207">
        <v>4</v>
      </c>
      <c r="BK18" s="14">
        <v>1</v>
      </c>
      <c r="BL18" s="208"/>
      <c r="BM18" s="26"/>
      <c r="BN18" s="207"/>
      <c r="BO18" s="205">
        <v>1</v>
      </c>
      <c r="BP18" s="207">
        <v>1</v>
      </c>
      <c r="BQ18" s="207"/>
      <c r="BR18" s="207"/>
      <c r="BS18" s="207"/>
      <c r="BT18" s="207"/>
      <c r="BU18" s="65"/>
    </row>
    <row r="19" spans="1:85" s="53" customFormat="1" ht="46.2" customHeight="1" thickTop="1" thickBot="1" x14ac:dyDescent="0.35">
      <c r="A19" s="499"/>
      <c r="B19" s="500"/>
      <c r="C19" s="500"/>
      <c r="D19" s="501"/>
      <c r="E19" s="505" t="s">
        <v>445</v>
      </c>
      <c r="F19" s="431">
        <f t="shared" ref="F19:G19" si="0">SUM(F4:F18)</f>
        <v>105</v>
      </c>
      <c r="G19" s="431">
        <f t="shared" si="0"/>
        <v>3104</v>
      </c>
      <c r="H19" s="54" t="s">
        <v>116</v>
      </c>
      <c r="I19" s="464">
        <f t="shared" ref="I19:K19" si="1">SUM(I4:I18)</f>
        <v>34</v>
      </c>
      <c r="J19" s="464">
        <f t="shared" si="1"/>
        <v>29</v>
      </c>
      <c r="K19" s="58">
        <f t="shared" si="1"/>
        <v>2</v>
      </c>
      <c r="L19" s="56">
        <f>SUM(L4:L18)</f>
        <v>22</v>
      </c>
      <c r="M19" s="464">
        <f t="shared" ref="M19:O19" si="2">SUM(M4:M18)</f>
        <v>14</v>
      </c>
      <c r="N19" s="464">
        <f t="shared" ref="N19" si="3">SUM(N4:N18)</f>
        <v>2</v>
      </c>
      <c r="O19" s="494">
        <f t="shared" si="2"/>
        <v>2</v>
      </c>
      <c r="P19" s="54" t="s">
        <v>116</v>
      </c>
      <c r="Q19" s="56">
        <f>SUM(Q4:Q18)</f>
        <v>472</v>
      </c>
      <c r="R19" s="56">
        <f>SUM(R4:R18)</f>
        <v>60</v>
      </c>
      <c r="S19" s="56">
        <f>SUM(S4:S18)</f>
        <v>9</v>
      </c>
      <c r="T19" s="58">
        <f t="shared" ref="T19:BT19" si="4">SUM(T4:T18)</f>
        <v>250</v>
      </c>
      <c r="U19" s="56">
        <f t="shared" si="4"/>
        <v>155</v>
      </c>
      <c r="V19" s="56">
        <f>SUM(V4:V18)</f>
        <v>32</v>
      </c>
      <c r="W19" s="106">
        <f t="shared" si="4"/>
        <v>19</v>
      </c>
      <c r="X19" s="56">
        <f t="shared" si="4"/>
        <v>16</v>
      </c>
      <c r="Y19" s="56">
        <f t="shared" si="4"/>
        <v>4</v>
      </c>
      <c r="Z19" s="59">
        <f t="shared" si="4"/>
        <v>228</v>
      </c>
      <c r="AA19" s="56">
        <f t="shared" si="4"/>
        <v>179</v>
      </c>
      <c r="AB19" s="56">
        <f t="shared" ref="AB19" si="5">SUM(AB4:AB18)</f>
        <v>33</v>
      </c>
      <c r="AC19" s="56">
        <f t="shared" si="4"/>
        <v>2</v>
      </c>
      <c r="AD19" s="59">
        <f t="shared" si="4"/>
        <v>177</v>
      </c>
      <c r="AE19" s="56">
        <f>SUM(AE4:AE18)</f>
        <v>146</v>
      </c>
      <c r="AF19" s="56">
        <f t="shared" si="4"/>
        <v>48</v>
      </c>
      <c r="AG19" s="56">
        <f>SUM(AG4:AG18)</f>
        <v>29</v>
      </c>
      <c r="AH19" s="56">
        <f t="shared" si="4"/>
        <v>14</v>
      </c>
      <c r="AI19" s="59">
        <f>SUM(AI4:AI18)</f>
        <v>321</v>
      </c>
      <c r="AJ19" s="56">
        <f>SUM(AJ4:AJ18)</f>
        <v>68</v>
      </c>
      <c r="AK19" s="58">
        <f>SUM(AK4:AK18)</f>
        <v>142</v>
      </c>
      <c r="AL19" s="106">
        <f>SUM(AL4:AL18)</f>
        <v>80</v>
      </c>
      <c r="AM19" s="56">
        <f t="shared" si="4"/>
        <v>18</v>
      </c>
      <c r="AN19" s="57">
        <f t="shared" si="4"/>
        <v>14</v>
      </c>
      <c r="AO19" s="59">
        <f>SUM(AO4:AO18)</f>
        <v>78</v>
      </c>
      <c r="AP19" s="56">
        <f>SUM(AP4:AP18)</f>
        <v>33</v>
      </c>
      <c r="AQ19" s="56">
        <f>SUM(AQ4:AQ18)</f>
        <v>3</v>
      </c>
      <c r="AR19" s="56">
        <f>SUM(AR4:AR18)</f>
        <v>1</v>
      </c>
      <c r="AS19" s="59">
        <f t="shared" si="4"/>
        <v>79</v>
      </c>
      <c r="AT19" s="56">
        <f t="shared" si="4"/>
        <v>24</v>
      </c>
      <c r="AU19" s="56">
        <f t="shared" ref="AU19" si="6">SUM(AU4:AU18)</f>
        <v>6</v>
      </c>
      <c r="AV19" s="56">
        <f t="shared" si="4"/>
        <v>1</v>
      </c>
      <c r="AW19" s="59">
        <f t="shared" si="4"/>
        <v>102</v>
      </c>
      <c r="AX19" s="56">
        <f t="shared" si="4"/>
        <v>1</v>
      </c>
      <c r="AY19" s="58">
        <f>SUM(AY4:AY18)</f>
        <v>24</v>
      </c>
      <c r="AZ19" s="106">
        <f>SUM(AZ4:AZ18)</f>
        <v>19</v>
      </c>
      <c r="BA19" s="56">
        <f>SUM(BA4:BA18)</f>
        <v>8</v>
      </c>
      <c r="BB19" s="56">
        <f t="shared" ref="BB19" si="7">SUM(BB4:BB18)</f>
        <v>2</v>
      </c>
      <c r="BC19" s="58">
        <f t="shared" si="4"/>
        <v>22</v>
      </c>
      <c r="BD19" s="106">
        <f>SUM(BD4:BD18)</f>
        <v>14</v>
      </c>
      <c r="BE19" s="57">
        <f t="shared" si="4"/>
        <v>4</v>
      </c>
      <c r="BF19" s="59">
        <f>SUM(BF4:BF18)</f>
        <v>2</v>
      </c>
      <c r="BG19" s="56">
        <f>SUM(BG4:BG18)</f>
        <v>24</v>
      </c>
      <c r="BH19" s="106">
        <f>SUM(BH4:BH18)</f>
        <v>1</v>
      </c>
      <c r="BI19" s="56">
        <f t="shared" ref="BI19" si="8">SUM(BI4:BI18)</f>
        <v>7</v>
      </c>
      <c r="BJ19" s="431">
        <f t="shared" ref="BJ19" si="9">SUM(BJ4:BJ18)</f>
        <v>33</v>
      </c>
      <c r="BK19" s="59">
        <f t="shared" si="4"/>
        <v>30</v>
      </c>
      <c r="BL19" s="56">
        <f t="shared" si="4"/>
        <v>1</v>
      </c>
      <c r="BM19" s="56">
        <f t="shared" si="4"/>
        <v>2</v>
      </c>
      <c r="BN19" s="59">
        <f t="shared" si="4"/>
        <v>1</v>
      </c>
      <c r="BO19" s="57">
        <f t="shared" si="4"/>
        <v>26</v>
      </c>
      <c r="BP19" s="431">
        <f t="shared" si="4"/>
        <v>14</v>
      </c>
      <c r="BQ19" s="431">
        <f t="shared" si="4"/>
        <v>13</v>
      </c>
      <c r="BR19" s="58">
        <f t="shared" si="4"/>
        <v>9</v>
      </c>
      <c r="BS19" s="58">
        <f t="shared" si="4"/>
        <v>1</v>
      </c>
      <c r="BT19" s="464">
        <f t="shared" si="4"/>
        <v>3</v>
      </c>
      <c r="BU19" s="65"/>
      <c r="BV19"/>
      <c r="BW19"/>
      <c r="BX19"/>
      <c r="BY19"/>
      <c r="BZ19"/>
      <c r="CA19"/>
      <c r="CB19"/>
      <c r="CC19"/>
      <c r="CD19"/>
      <c r="CE19"/>
      <c r="CF19"/>
      <c r="CG19"/>
    </row>
    <row r="20" spans="1:85" ht="46.8" customHeight="1" thickTop="1" thickBot="1" x14ac:dyDescent="0.35">
      <c r="A20" s="502"/>
      <c r="B20" s="503"/>
      <c r="C20" s="503"/>
      <c r="D20" s="504"/>
      <c r="E20" s="506"/>
      <c r="F20" s="432"/>
      <c r="G20" s="432"/>
      <c r="H20" s="52" t="s">
        <v>115</v>
      </c>
      <c r="I20" s="433"/>
      <c r="J20" s="433"/>
      <c r="K20" s="426">
        <v>24</v>
      </c>
      <c r="L20" s="435"/>
      <c r="M20" s="433"/>
      <c r="N20" s="433"/>
      <c r="O20" s="495"/>
      <c r="P20" s="52" t="s">
        <v>115</v>
      </c>
      <c r="Q20" s="513">
        <v>541</v>
      </c>
      <c r="R20" s="514"/>
      <c r="S20" s="514"/>
      <c r="T20" s="426">
        <v>476</v>
      </c>
      <c r="U20" s="427"/>
      <c r="V20" s="427"/>
      <c r="W20" s="427"/>
      <c r="X20" s="427"/>
      <c r="Y20" s="427"/>
      <c r="Z20" s="426">
        <v>442</v>
      </c>
      <c r="AA20" s="427"/>
      <c r="AB20" s="427"/>
      <c r="AC20" s="427"/>
      <c r="AD20" s="426">
        <v>414</v>
      </c>
      <c r="AE20" s="427"/>
      <c r="AF20" s="427"/>
      <c r="AG20" s="427"/>
      <c r="AH20" s="435"/>
      <c r="AI20" s="426">
        <v>389</v>
      </c>
      <c r="AJ20" s="427"/>
      <c r="AK20" s="426">
        <v>254</v>
      </c>
      <c r="AL20" s="427"/>
      <c r="AM20" s="427"/>
      <c r="AN20" s="435"/>
      <c r="AO20" s="426">
        <v>115</v>
      </c>
      <c r="AP20" s="427"/>
      <c r="AQ20" s="427"/>
      <c r="AR20" s="435"/>
      <c r="AS20" s="426">
        <v>110</v>
      </c>
      <c r="AT20" s="427"/>
      <c r="AU20" s="427"/>
      <c r="AV20" s="435"/>
      <c r="AW20" s="426">
        <v>103</v>
      </c>
      <c r="AX20" s="427"/>
      <c r="AY20" s="426">
        <v>53</v>
      </c>
      <c r="AZ20" s="427"/>
      <c r="BA20" s="427"/>
      <c r="BB20" s="427"/>
      <c r="BC20" s="426">
        <v>40</v>
      </c>
      <c r="BD20" s="427"/>
      <c r="BE20" s="435"/>
      <c r="BF20" s="426">
        <v>34</v>
      </c>
      <c r="BG20" s="427"/>
      <c r="BH20" s="427"/>
      <c r="BI20" s="435"/>
      <c r="BJ20" s="432"/>
      <c r="BK20" s="426">
        <v>33</v>
      </c>
      <c r="BL20" s="427"/>
      <c r="BM20" s="435"/>
      <c r="BN20" s="426">
        <v>27</v>
      </c>
      <c r="BO20" s="435"/>
      <c r="BP20" s="432"/>
      <c r="BQ20" s="432"/>
      <c r="BR20" s="426">
        <v>10</v>
      </c>
      <c r="BS20" s="435"/>
      <c r="BT20" s="433"/>
      <c r="BU20" s="65"/>
    </row>
    <row r="21" spans="1:85" ht="14.4" customHeight="1" thickTop="1" x14ac:dyDescent="0.3">
      <c r="H21" s="77"/>
      <c r="P21" s="77"/>
      <c r="Q21" s="304"/>
      <c r="R21" s="304"/>
      <c r="S21" s="304"/>
      <c r="T21" s="25"/>
      <c r="U21" s="25"/>
      <c r="V21" s="25"/>
      <c r="W21" s="25"/>
      <c r="X21" s="25"/>
      <c r="Y21" s="25"/>
    </row>
    <row r="22" spans="1:85" x14ac:dyDescent="0.3">
      <c r="J22"/>
      <c r="K22"/>
      <c r="M22"/>
      <c r="N22"/>
      <c r="O22"/>
    </row>
    <row r="23" spans="1:85" x14ac:dyDescent="0.3">
      <c r="J23"/>
      <c r="K23"/>
      <c r="M23"/>
      <c r="N23"/>
      <c r="O23"/>
    </row>
    <row r="24" spans="1:85" x14ac:dyDescent="0.3">
      <c r="J24"/>
      <c r="K24"/>
      <c r="M24"/>
      <c r="N24"/>
      <c r="O24"/>
    </row>
    <row r="25" spans="1:85" x14ac:dyDescent="0.3">
      <c r="J25"/>
      <c r="K25"/>
      <c r="M25"/>
      <c r="N25"/>
      <c r="O25"/>
    </row>
    <row r="26" spans="1:85" x14ac:dyDescent="0.3">
      <c r="J26"/>
      <c r="K26"/>
      <c r="M26"/>
      <c r="N26"/>
      <c r="O26"/>
    </row>
    <row r="27" spans="1:85" x14ac:dyDescent="0.3">
      <c r="J27"/>
      <c r="K27"/>
      <c r="M27"/>
      <c r="N27"/>
      <c r="O27"/>
    </row>
    <row r="28" spans="1:85" x14ac:dyDescent="0.3">
      <c r="J28"/>
      <c r="K28"/>
      <c r="M28"/>
      <c r="N28"/>
      <c r="O28"/>
    </row>
    <row r="29" spans="1:85" x14ac:dyDescent="0.3">
      <c r="J29"/>
      <c r="K29"/>
      <c r="M29"/>
      <c r="N29"/>
      <c r="O29"/>
    </row>
    <row r="30" spans="1:85" x14ac:dyDescent="0.3">
      <c r="J30"/>
      <c r="K30"/>
      <c r="M30"/>
      <c r="N30"/>
      <c r="O30"/>
    </row>
    <row r="31" spans="1:85" x14ac:dyDescent="0.3">
      <c r="J31"/>
      <c r="K31"/>
      <c r="M31"/>
      <c r="N31"/>
      <c r="O31"/>
    </row>
    <row r="32" spans="1:85" x14ac:dyDescent="0.3">
      <c r="J32"/>
      <c r="K32"/>
      <c r="M32"/>
      <c r="N32"/>
      <c r="O32"/>
    </row>
    <row r="33" spans="10:15" x14ac:dyDescent="0.3">
      <c r="J33"/>
      <c r="K33"/>
      <c r="M33"/>
      <c r="N33"/>
      <c r="O33"/>
    </row>
    <row r="34" spans="10:15" x14ac:dyDescent="0.3">
      <c r="J34"/>
      <c r="K34"/>
      <c r="M34"/>
      <c r="N34"/>
      <c r="O34"/>
    </row>
    <row r="35" spans="10:15" x14ac:dyDescent="0.3">
      <c r="J35"/>
      <c r="K35"/>
      <c r="M35"/>
      <c r="N35"/>
      <c r="O35"/>
    </row>
    <row r="36" spans="10:15" x14ac:dyDescent="0.3">
      <c r="J36"/>
      <c r="K36"/>
      <c r="M36"/>
      <c r="N36"/>
      <c r="O36"/>
    </row>
    <row r="37" spans="10:15" x14ac:dyDescent="0.3">
      <c r="J37"/>
      <c r="K37"/>
      <c r="M37"/>
      <c r="N37"/>
      <c r="O37"/>
    </row>
    <row r="38" spans="10:15" x14ac:dyDescent="0.3">
      <c r="J38"/>
      <c r="K38"/>
      <c r="M38"/>
      <c r="N38"/>
      <c r="O38"/>
    </row>
    <row r="39" spans="10:15" x14ac:dyDescent="0.3">
      <c r="J39"/>
      <c r="K39"/>
      <c r="M39"/>
      <c r="N39"/>
      <c r="O39"/>
    </row>
    <row r="40" spans="10:15" x14ac:dyDescent="0.3">
      <c r="J40"/>
      <c r="K40"/>
      <c r="M40"/>
      <c r="N40"/>
      <c r="O40"/>
    </row>
    <row r="41" spans="10:15" x14ac:dyDescent="0.3">
      <c r="J41"/>
      <c r="K41"/>
      <c r="M41"/>
      <c r="N41"/>
      <c r="O41"/>
    </row>
    <row r="42" spans="10:15" x14ac:dyDescent="0.3">
      <c r="J42"/>
      <c r="K42"/>
      <c r="M42"/>
      <c r="N42"/>
      <c r="O42"/>
    </row>
    <row r="43" spans="10:15" x14ac:dyDescent="0.3">
      <c r="J43"/>
      <c r="K43"/>
      <c r="M43"/>
      <c r="N43"/>
      <c r="O43"/>
    </row>
    <row r="44" spans="10:15" x14ac:dyDescent="0.3">
      <c r="J44"/>
      <c r="K44"/>
      <c r="M44"/>
      <c r="N44"/>
      <c r="O44"/>
    </row>
    <row r="45" spans="10:15" x14ac:dyDescent="0.3">
      <c r="J45"/>
      <c r="K45"/>
      <c r="M45"/>
      <c r="N45"/>
      <c r="O45"/>
    </row>
    <row r="46" spans="10:15" x14ac:dyDescent="0.3">
      <c r="J46"/>
      <c r="K46"/>
      <c r="M46"/>
      <c r="N46"/>
      <c r="O46"/>
    </row>
    <row r="47" spans="10:15" x14ac:dyDescent="0.3">
      <c r="J47"/>
      <c r="K47"/>
      <c r="M47"/>
      <c r="N47"/>
      <c r="O47"/>
    </row>
    <row r="48" spans="10:15" x14ac:dyDescent="0.3">
      <c r="J48"/>
      <c r="K48"/>
      <c r="M48"/>
      <c r="N48"/>
      <c r="O48"/>
    </row>
    <row r="49" spans="10:15" x14ac:dyDescent="0.3">
      <c r="J49"/>
      <c r="K49"/>
      <c r="M49"/>
      <c r="N49"/>
      <c r="O49"/>
    </row>
    <row r="50" spans="10:15" x14ac:dyDescent="0.3">
      <c r="J50"/>
      <c r="K50"/>
      <c r="M50"/>
      <c r="N50"/>
      <c r="O50"/>
    </row>
    <row r="51" spans="10:15" x14ac:dyDescent="0.3">
      <c r="J51"/>
      <c r="K51"/>
      <c r="M51"/>
      <c r="N51"/>
      <c r="O51"/>
    </row>
    <row r="52" spans="10:15" x14ac:dyDescent="0.3">
      <c r="J52"/>
      <c r="K52"/>
      <c r="M52"/>
      <c r="N52"/>
      <c r="O52"/>
    </row>
    <row r="53" spans="10:15" x14ac:dyDescent="0.3">
      <c r="J53"/>
      <c r="K53"/>
      <c r="M53"/>
      <c r="N53"/>
      <c r="O53"/>
    </row>
    <row r="54" spans="10:15" x14ac:dyDescent="0.3">
      <c r="J54"/>
      <c r="K54"/>
      <c r="M54"/>
      <c r="N54"/>
      <c r="O54"/>
    </row>
    <row r="55" spans="10:15" x14ac:dyDescent="0.3">
      <c r="J55"/>
      <c r="K55"/>
      <c r="M55"/>
      <c r="N55"/>
      <c r="O55"/>
    </row>
    <row r="56" spans="10:15" x14ac:dyDescent="0.3">
      <c r="J56"/>
      <c r="K56"/>
      <c r="M56"/>
      <c r="N56"/>
      <c r="O56"/>
    </row>
    <row r="57" spans="10:15" x14ac:dyDescent="0.3">
      <c r="J57"/>
      <c r="K57"/>
      <c r="M57"/>
      <c r="N57"/>
      <c r="O57"/>
    </row>
    <row r="58" spans="10:15" x14ac:dyDescent="0.3">
      <c r="J58"/>
      <c r="K58"/>
      <c r="M58"/>
      <c r="N58"/>
      <c r="O58"/>
    </row>
    <row r="59" spans="10:15" x14ac:dyDescent="0.3">
      <c r="J59"/>
      <c r="K59"/>
      <c r="M59"/>
      <c r="N59"/>
      <c r="O59"/>
    </row>
    <row r="60" spans="10:15" x14ac:dyDescent="0.3">
      <c r="J60"/>
      <c r="K60"/>
      <c r="M60"/>
      <c r="N60"/>
      <c r="O60"/>
    </row>
    <row r="61" spans="10:15" x14ac:dyDescent="0.3">
      <c r="J61"/>
      <c r="K61"/>
      <c r="M61"/>
      <c r="N61"/>
      <c r="O61"/>
    </row>
    <row r="62" spans="10:15" x14ac:dyDescent="0.3">
      <c r="J62"/>
      <c r="K62"/>
      <c r="M62"/>
      <c r="N62"/>
      <c r="O62"/>
    </row>
    <row r="63" spans="10:15" x14ac:dyDescent="0.3">
      <c r="J63"/>
      <c r="K63"/>
      <c r="M63"/>
      <c r="N63"/>
      <c r="O63"/>
    </row>
    <row r="64" spans="10:15" x14ac:dyDescent="0.3">
      <c r="J64"/>
      <c r="K64"/>
      <c r="M64"/>
      <c r="N64"/>
      <c r="O64"/>
    </row>
    <row r="65" spans="10:15" x14ac:dyDescent="0.3">
      <c r="J65"/>
      <c r="K65"/>
      <c r="M65"/>
      <c r="N65"/>
      <c r="O65"/>
    </row>
    <row r="66" spans="10:15" x14ac:dyDescent="0.3">
      <c r="J66"/>
      <c r="K66"/>
      <c r="M66"/>
      <c r="N66"/>
      <c r="O66"/>
    </row>
    <row r="67" spans="10:15" x14ac:dyDescent="0.3">
      <c r="J67"/>
      <c r="K67"/>
      <c r="M67"/>
      <c r="N67"/>
      <c r="O67"/>
    </row>
    <row r="68" spans="10:15" x14ac:dyDescent="0.3">
      <c r="J68"/>
      <c r="K68"/>
      <c r="M68"/>
      <c r="N68"/>
      <c r="O68"/>
    </row>
    <row r="69" spans="10:15" x14ac:dyDescent="0.3">
      <c r="J69"/>
      <c r="K69"/>
      <c r="M69"/>
      <c r="N69"/>
      <c r="O69"/>
    </row>
  </sheetData>
  <mergeCells count="67">
    <mergeCell ref="Q20:S20"/>
    <mergeCell ref="Q2:S2"/>
    <mergeCell ref="BJ19:BJ20"/>
    <mergeCell ref="E1:G1"/>
    <mergeCell ref="E2:E3"/>
    <mergeCell ref="F2:F3"/>
    <mergeCell ref="G2:G3"/>
    <mergeCell ref="F19:F20"/>
    <mergeCell ref="G19:G20"/>
    <mergeCell ref="BF2:BI2"/>
    <mergeCell ref="BF20:BI20"/>
    <mergeCell ref="AY2:BB2"/>
    <mergeCell ref="AY20:BB20"/>
    <mergeCell ref="AS20:AV20"/>
    <mergeCell ref="AO20:AR20"/>
    <mergeCell ref="AO2:AR2"/>
    <mergeCell ref="BT19:BT20"/>
    <mergeCell ref="AW20:AX20"/>
    <mergeCell ref="BC20:BE20"/>
    <mergeCell ref="BK20:BM20"/>
    <mergeCell ref="BN20:BO20"/>
    <mergeCell ref="BP19:BP20"/>
    <mergeCell ref="BT2:BT3"/>
    <mergeCell ref="BR20:BS20"/>
    <mergeCell ref="BK2:BM2"/>
    <mergeCell ref="A19:D19"/>
    <mergeCell ref="A20:D20"/>
    <mergeCell ref="BJ2:BJ3"/>
    <mergeCell ref="E19:E20"/>
    <mergeCell ref="BQ19:BQ20"/>
    <mergeCell ref="J19:J20"/>
    <mergeCell ref="AD20:AH20"/>
    <mergeCell ref="N19:N20"/>
    <mergeCell ref="A2:A3"/>
    <mergeCell ref="I2:I3"/>
    <mergeCell ref="B2:B3"/>
    <mergeCell ref="C2:C3"/>
    <mergeCell ref="D2:D3"/>
    <mergeCell ref="A1:D1"/>
    <mergeCell ref="I1:O1"/>
    <mergeCell ref="K2:L2"/>
    <mergeCell ref="M2:M3"/>
    <mergeCell ref="AK20:AN20"/>
    <mergeCell ref="N2:N3"/>
    <mergeCell ref="AI2:AJ2"/>
    <mergeCell ref="I19:I20"/>
    <mergeCell ref="AI20:AJ20"/>
    <mergeCell ref="O19:O20"/>
    <mergeCell ref="T20:Y20"/>
    <mergeCell ref="Z20:AC20"/>
    <mergeCell ref="K20:L20"/>
    <mergeCell ref="M19:M20"/>
    <mergeCell ref="H1:H3"/>
    <mergeCell ref="P1:P3"/>
    <mergeCell ref="J2:J3"/>
    <mergeCell ref="O2:O3"/>
    <mergeCell ref="BP2:BP3"/>
    <mergeCell ref="BR2:BS2"/>
    <mergeCell ref="BN2:BO2"/>
    <mergeCell ref="T2:Y2"/>
    <mergeCell ref="Z2:AC2"/>
    <mergeCell ref="AD2:AH2"/>
    <mergeCell ref="AK2:AN2"/>
    <mergeCell ref="AS2:AV2"/>
    <mergeCell ref="BQ2:BQ3"/>
    <mergeCell ref="AW2:AX2"/>
    <mergeCell ref="BC2:BE2"/>
  </mergeCells>
  <conditionalFormatting sqref="A4:A10 A13 A15:A18">
    <cfRule type="colorScale" priority="4">
      <colorScale>
        <cfvo type="min"/>
        <cfvo type="max"/>
        <color rgb="FF63BE7B"/>
        <color rgb="FFFCFCFF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{6EA28F23-6E40-417F-958F-2A0C83DCDBF9}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{379198DE-E2A8-4749-AE13-58F4CDBEB539}</x14:id>
        </ext>
      </extLst>
    </cfRule>
  </conditionalFormatting>
  <conditionalFormatting sqref="T4:Y18">
    <cfRule type="cellIs" dxfId="0" priority="3" operator="greaterThan">
      <formula>116.5</formula>
    </cfRule>
  </conditionalFormatting>
  <hyperlinks>
    <hyperlink ref="D18" r:id="rId1" display="https://archive.org/details/throughspainreco00dickrich/page/n13/mode/2up" xr:uid="{F8F4C197-B86C-4A88-9454-070BBDE9B05E}"/>
    <hyperlink ref="D17" r:id="rId2" display="https://www.gutenberg.org/ebooks/7430" xr:uid="{A3E64DCA-0C1C-433B-B9C5-57671E1698C7}"/>
    <hyperlink ref="D16" r:id="rId3" display="https://www.gutenberg.org/ebooks/40201" xr:uid="{B3417A33-7283-4DA0-8A58-C766DDC08B4B}"/>
    <hyperlink ref="D10" r:id="rId4" display="https://archive.org/details/sunshadowinspain00elliuoft" xr:uid="{16F871FF-B329-45D0-9765-BE56976AF287}"/>
    <hyperlink ref="D8" r:id="rId5" display="https://www.gutenberg.org/ebooks/27252" xr:uid="{F4C45436-0220-4498-A238-1B548B991767}"/>
    <hyperlink ref="D7" r:id="rId6" display="https://archive.org/details/atrampinspain00unkngoog/page/n8/mode/2up" xr:uid="{30002C8C-9BAD-4BEA-8919-CA51C49CDC81}"/>
    <hyperlink ref="D6" r:id="rId7" display="https://www.gutenberg.org/ebooks/59944" xr:uid="{C7B6DD7A-44CE-4486-947F-BF56D1A2B16E}"/>
    <hyperlink ref="D4" r:id="rId8" display="https://www.gutenberg.org/ebooks/38767" xr:uid="{E868F1E1-EE13-4C45-AB51-321907689845}"/>
    <hyperlink ref="D9" r:id="rId9" display="https://www.gutenberg.org/ebooks/37944" xr:uid="{1C2A286E-DEA4-436A-8E99-1E75A01C356A}"/>
    <hyperlink ref="D13" r:id="rId10" display="https://www.gutenberg.org/ebooks/41593" xr:uid="{24FBB1FD-5F71-406E-9996-55EFAAF0E665}"/>
    <hyperlink ref="D5" r:id="rId11" display="https://archive.org/details/landofdons00will/page/n19/mode/2up" xr:uid="{57142D7E-5E27-4789-8DD7-7428A7CDA88B}"/>
    <hyperlink ref="D15" r:id="rId12" display="https://www.gutenberg.org/ebooks/40357" xr:uid="{F06DA60A-EF1B-47C3-9ABD-51EE476FA919}"/>
    <hyperlink ref="D14" r:id="rId13" display="https://www.gutenberg.org/ebooks/author/39917" xr:uid="{C2C82E4F-F1BE-42D8-9AD1-674287806B48}"/>
    <hyperlink ref="D12" r:id="rId14" display="https://www.gutenberg.org/ebooks/40356" xr:uid="{02E8DD9E-D3FB-4FFC-B232-662C978491B1}"/>
    <hyperlink ref="D11" r:id="rId15" display="https://archive.org/details/spainoftodaynarr00shaw/page/n11/mode/2up" xr:uid="{C1CB3075-1043-484A-BB28-982DF0C92C00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A28F23-6E40-417F-958F-2A0C83DCD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379198DE-E2A8-4749-AE13-58F4CDBEB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P22"/>
  <sheetViews>
    <sheetView topLeftCell="C1" zoomScale="50" zoomScaleNormal="50" workbookViewId="0">
      <selection activeCell="I17" sqref="I17"/>
    </sheetView>
  </sheetViews>
  <sheetFormatPr baseColWidth="10" defaultColWidth="8.88671875" defaultRowHeight="14.4" x14ac:dyDescent="0.3"/>
  <cols>
    <col min="1" max="1" width="79" customWidth="1"/>
    <col min="2" max="2" width="51.77734375" customWidth="1"/>
    <col min="3" max="3" width="26.88671875" customWidth="1"/>
    <col min="4" max="4" width="23.6640625" customWidth="1"/>
    <col min="5" max="5" width="27" customWidth="1"/>
    <col min="6" max="7" width="19.6640625" customWidth="1"/>
    <col min="8" max="8" width="33.21875" customWidth="1"/>
    <col min="9" max="9" width="15.88671875" customWidth="1"/>
    <col min="10" max="10" width="13.88671875" customWidth="1"/>
    <col min="11" max="11" width="15.21875" customWidth="1"/>
    <col min="12" max="12" width="13.6640625" customWidth="1"/>
    <col min="13" max="13" width="12.77734375" customWidth="1"/>
    <col min="14" max="14" width="15.44140625" customWidth="1"/>
    <col min="15" max="15" width="17.6640625" customWidth="1"/>
    <col min="16" max="16" width="12.77734375" customWidth="1"/>
    <col min="17" max="17" width="14.109375" customWidth="1"/>
    <col min="18" max="18" width="15" customWidth="1"/>
    <col min="19" max="19" width="12.109375" customWidth="1"/>
    <col min="20" max="20" width="12.33203125" customWidth="1"/>
    <col min="21" max="21" width="10.77734375" customWidth="1"/>
    <col min="22" max="24" width="13.44140625" customWidth="1"/>
    <col min="25" max="25" width="20.5546875" customWidth="1"/>
    <col min="26" max="26" width="15" customWidth="1"/>
    <col min="27" max="27" width="17.44140625" customWidth="1"/>
    <col min="28" max="28" width="13.44140625" customWidth="1"/>
    <col min="29" max="29" width="30.33203125" customWidth="1"/>
    <col min="30" max="30" width="13.6640625" customWidth="1"/>
    <col min="31" max="31" width="14.33203125" customWidth="1"/>
    <col min="32" max="32" width="12.21875" customWidth="1"/>
    <col min="33" max="33" width="11.5546875" customWidth="1"/>
    <col min="34" max="34" width="12.88671875" customWidth="1"/>
    <col min="35" max="35" width="10.6640625" customWidth="1"/>
    <col min="36" max="36" width="10.77734375" customWidth="1"/>
    <col min="37" max="37" width="11" customWidth="1"/>
    <col min="38" max="38" width="11.44140625" customWidth="1"/>
    <col min="39" max="39" width="12" customWidth="1"/>
    <col min="40" max="40" width="10.88671875" customWidth="1"/>
    <col min="41" max="41" width="12.21875" customWidth="1"/>
    <col min="42" max="42" width="10.6640625" customWidth="1"/>
    <col min="43" max="47" width="12.109375" customWidth="1"/>
    <col min="48" max="49" width="11" customWidth="1"/>
    <col min="50" max="50" width="11.44140625" customWidth="1"/>
    <col min="51" max="51" width="8.33203125" customWidth="1"/>
    <col min="52" max="52" width="10.21875" customWidth="1"/>
    <col min="53" max="53" width="10" customWidth="1"/>
    <col min="54" max="54" width="8.77734375" customWidth="1"/>
    <col min="55" max="57" width="10.88671875" customWidth="1"/>
    <col min="58" max="58" width="11.5546875" customWidth="1"/>
    <col min="59" max="59" width="11.33203125" customWidth="1"/>
  </cols>
  <sheetData>
    <row r="1" spans="1:224" s="55" customFormat="1" ht="43.8" customHeight="1" thickBot="1" x14ac:dyDescent="0.55000000000000004">
      <c r="A1" s="544" t="s">
        <v>0</v>
      </c>
      <c r="B1" s="545"/>
      <c r="C1" s="545"/>
      <c r="D1" s="546"/>
      <c r="E1" s="559" t="s">
        <v>351</v>
      </c>
      <c r="F1" s="560"/>
      <c r="G1" s="560"/>
      <c r="H1" s="461" t="s">
        <v>438</v>
      </c>
      <c r="I1" s="550" t="s">
        <v>299</v>
      </c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41" t="s">
        <v>192</v>
      </c>
      <c r="AD1" s="532" t="s">
        <v>103</v>
      </c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65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</row>
    <row r="2" spans="1:224" ht="38.4" customHeight="1" thickTop="1" thickBot="1" x14ac:dyDescent="0.35">
      <c r="A2" s="548" t="s">
        <v>1</v>
      </c>
      <c r="B2" s="549" t="s">
        <v>2</v>
      </c>
      <c r="C2" s="549" t="s">
        <v>3</v>
      </c>
      <c r="D2" s="563" t="s">
        <v>4</v>
      </c>
      <c r="E2" s="478" t="s">
        <v>360</v>
      </c>
      <c r="F2" s="547" t="s">
        <v>103</v>
      </c>
      <c r="G2" s="547" t="s">
        <v>128</v>
      </c>
      <c r="H2" s="496"/>
      <c r="I2" s="525" t="s">
        <v>295</v>
      </c>
      <c r="J2" s="535" t="s">
        <v>257</v>
      </c>
      <c r="K2" s="537"/>
      <c r="L2" s="536" t="s">
        <v>258</v>
      </c>
      <c r="M2" s="536"/>
      <c r="N2" s="533" t="s">
        <v>324</v>
      </c>
      <c r="O2" s="525" t="s">
        <v>296</v>
      </c>
      <c r="P2" s="533" t="s">
        <v>298</v>
      </c>
      <c r="Q2" s="535" t="s">
        <v>259</v>
      </c>
      <c r="R2" s="536"/>
      <c r="S2" s="535" t="s">
        <v>261</v>
      </c>
      <c r="T2" s="536"/>
      <c r="U2" s="537"/>
      <c r="V2" s="536" t="s">
        <v>297</v>
      </c>
      <c r="W2" s="537"/>
      <c r="X2" s="525" t="s">
        <v>260</v>
      </c>
      <c r="Y2" s="533" t="s">
        <v>262</v>
      </c>
      <c r="Z2" s="533" t="s">
        <v>263</v>
      </c>
      <c r="AA2" s="525" t="s">
        <v>426</v>
      </c>
      <c r="AB2" s="525" t="s">
        <v>264</v>
      </c>
      <c r="AC2" s="542"/>
      <c r="AD2" s="538" t="s">
        <v>265</v>
      </c>
      <c r="AE2" s="539"/>
      <c r="AF2" s="539"/>
      <c r="AG2" s="538" t="s">
        <v>266</v>
      </c>
      <c r="AH2" s="539"/>
      <c r="AI2" s="539"/>
      <c r="AJ2" s="540"/>
      <c r="AK2" s="538" t="s">
        <v>267</v>
      </c>
      <c r="AL2" s="539"/>
      <c r="AM2" s="539"/>
      <c r="AN2" s="538" t="s">
        <v>268</v>
      </c>
      <c r="AO2" s="539"/>
      <c r="AP2" s="539"/>
      <c r="AQ2" s="538" t="s">
        <v>269</v>
      </c>
      <c r="AR2" s="539"/>
      <c r="AS2" s="539"/>
      <c r="AT2" s="538" t="s">
        <v>435</v>
      </c>
      <c r="AU2" s="539"/>
      <c r="AV2" s="539"/>
      <c r="AW2" s="538" t="s">
        <v>270</v>
      </c>
      <c r="AX2" s="539"/>
      <c r="AY2" s="538" t="s">
        <v>271</v>
      </c>
      <c r="AZ2" s="539"/>
      <c r="BA2" s="539"/>
      <c r="BB2" s="539"/>
      <c r="BC2" s="538" t="s">
        <v>272</v>
      </c>
      <c r="BD2" s="539"/>
      <c r="BE2" s="540"/>
      <c r="BF2" s="535" t="s">
        <v>429</v>
      </c>
      <c r="BG2" s="537"/>
      <c r="BH2" s="65"/>
    </row>
    <row r="3" spans="1:224" s="40" customFormat="1" ht="42" customHeight="1" thickTop="1" thickBot="1" x14ac:dyDescent="0.35">
      <c r="A3" s="508"/>
      <c r="B3" s="510"/>
      <c r="C3" s="510"/>
      <c r="D3" s="564"/>
      <c r="E3" s="445"/>
      <c r="F3" s="480"/>
      <c r="G3" s="480"/>
      <c r="H3" s="497"/>
      <c r="I3" s="526"/>
      <c r="J3" s="79" t="s">
        <v>59</v>
      </c>
      <c r="K3" s="45" t="s">
        <v>40</v>
      </c>
      <c r="L3" s="78" t="s">
        <v>101</v>
      </c>
      <c r="M3" s="44" t="s">
        <v>39</v>
      </c>
      <c r="N3" s="534"/>
      <c r="O3" s="526"/>
      <c r="P3" s="534"/>
      <c r="Q3" s="41" t="s">
        <v>436</v>
      </c>
      <c r="R3" s="44" t="s">
        <v>114</v>
      </c>
      <c r="S3" s="79" t="s">
        <v>38</v>
      </c>
      <c r="T3" s="44" t="s">
        <v>113</v>
      </c>
      <c r="U3" s="45" t="s">
        <v>102</v>
      </c>
      <c r="V3" s="78" t="s">
        <v>425</v>
      </c>
      <c r="W3" s="45" t="s">
        <v>127</v>
      </c>
      <c r="X3" s="526"/>
      <c r="Y3" s="534"/>
      <c r="Z3" s="534"/>
      <c r="AA3" s="526"/>
      <c r="AB3" s="526"/>
      <c r="AC3" s="543"/>
      <c r="AD3" s="109" t="s">
        <v>63</v>
      </c>
      <c r="AE3" s="110" t="s">
        <v>109</v>
      </c>
      <c r="AF3" s="80" t="s">
        <v>112</v>
      </c>
      <c r="AG3" s="79" t="s">
        <v>61</v>
      </c>
      <c r="AH3" s="111" t="s">
        <v>62</v>
      </c>
      <c r="AI3" s="111" t="s">
        <v>432</v>
      </c>
      <c r="AJ3" s="112" t="s">
        <v>60</v>
      </c>
      <c r="AK3" s="113" t="s">
        <v>64</v>
      </c>
      <c r="AL3" s="110" t="s">
        <v>57</v>
      </c>
      <c r="AM3" s="80" t="s">
        <v>111</v>
      </c>
      <c r="AN3" s="109" t="s">
        <v>58</v>
      </c>
      <c r="AO3" s="80" t="s">
        <v>106</v>
      </c>
      <c r="AP3" s="114" t="s">
        <v>108</v>
      </c>
      <c r="AQ3" s="109" t="s">
        <v>66</v>
      </c>
      <c r="AR3" s="78" t="s">
        <v>325</v>
      </c>
      <c r="AS3" s="80" t="s">
        <v>105</v>
      </c>
      <c r="AT3" s="109" t="s">
        <v>65</v>
      </c>
      <c r="AU3" s="78" t="s">
        <v>110</v>
      </c>
      <c r="AV3" s="80" t="s">
        <v>73</v>
      </c>
      <c r="AW3" s="109" t="s">
        <v>71</v>
      </c>
      <c r="AX3" s="78" t="s">
        <v>74</v>
      </c>
      <c r="AY3" s="109" t="s">
        <v>68</v>
      </c>
      <c r="AZ3" s="80" t="s">
        <v>70</v>
      </c>
      <c r="BA3" s="114" t="s">
        <v>104</v>
      </c>
      <c r="BB3" s="78" t="s">
        <v>69</v>
      </c>
      <c r="BC3" s="79" t="s">
        <v>72</v>
      </c>
      <c r="BD3" s="114" t="s">
        <v>67</v>
      </c>
      <c r="BE3" s="121" t="s">
        <v>107</v>
      </c>
      <c r="BF3" s="78" t="s">
        <v>430</v>
      </c>
      <c r="BG3" s="252" t="s">
        <v>431</v>
      </c>
      <c r="BH3" s="65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</row>
    <row r="4" spans="1:224" ht="38.4" customHeight="1" thickTop="1" x14ac:dyDescent="0.5">
      <c r="A4" s="23" t="s">
        <v>5</v>
      </c>
      <c r="B4" s="7" t="s">
        <v>6</v>
      </c>
      <c r="C4" s="6">
        <v>1900</v>
      </c>
      <c r="D4" s="37" t="s">
        <v>7</v>
      </c>
      <c r="E4" s="244" t="s">
        <v>443</v>
      </c>
      <c r="F4" s="137">
        <v>124</v>
      </c>
      <c r="G4" s="244">
        <v>57</v>
      </c>
      <c r="H4" s="76" t="s">
        <v>193</v>
      </c>
      <c r="I4" s="280">
        <v>31</v>
      </c>
      <c r="J4" s="129">
        <v>8</v>
      </c>
      <c r="K4" s="130"/>
      <c r="L4" s="135">
        <v>3</v>
      </c>
      <c r="M4" s="150"/>
      <c r="N4" s="129">
        <v>7</v>
      </c>
      <c r="O4" s="140">
        <v>2</v>
      </c>
      <c r="P4" s="129">
        <v>1</v>
      </c>
      <c r="Q4" s="129">
        <v>2</v>
      </c>
      <c r="R4" s="150"/>
      <c r="S4" s="129"/>
      <c r="T4" s="150"/>
      <c r="U4" s="130">
        <v>3</v>
      </c>
      <c r="V4" s="135"/>
      <c r="W4" s="130"/>
      <c r="X4" s="129"/>
      <c r="Y4" s="129"/>
      <c r="Z4" s="129"/>
      <c r="AA4" s="137"/>
      <c r="AB4" s="137"/>
      <c r="AC4" s="76" t="s">
        <v>193</v>
      </c>
      <c r="AD4" s="164">
        <v>27</v>
      </c>
      <c r="AE4" s="166"/>
      <c r="AF4" s="168"/>
      <c r="AG4" s="167">
        <v>24</v>
      </c>
      <c r="AH4" s="168">
        <v>6</v>
      </c>
      <c r="AI4" s="168"/>
      <c r="AJ4" s="178"/>
      <c r="AK4" s="164">
        <v>13</v>
      </c>
      <c r="AL4" s="166">
        <v>9</v>
      </c>
      <c r="AM4" s="168"/>
      <c r="AN4" s="164">
        <v>8</v>
      </c>
      <c r="AO4" s="168">
        <v>2</v>
      </c>
      <c r="AP4" s="166"/>
      <c r="AQ4" s="164">
        <v>8</v>
      </c>
      <c r="AR4" s="179">
        <v>2</v>
      </c>
      <c r="AS4" s="168">
        <v>3</v>
      </c>
      <c r="AT4" s="164">
        <v>9</v>
      </c>
      <c r="AU4" s="179"/>
      <c r="AV4" s="168">
        <v>1</v>
      </c>
      <c r="AW4" s="164">
        <v>2</v>
      </c>
      <c r="AX4" s="179">
        <v>1</v>
      </c>
      <c r="AY4" s="164">
        <v>2</v>
      </c>
      <c r="AZ4" s="168"/>
      <c r="BA4" s="166">
        <v>1</v>
      </c>
      <c r="BB4" s="179">
        <v>2</v>
      </c>
      <c r="BC4" s="167">
        <v>1</v>
      </c>
      <c r="BD4" s="166">
        <v>3</v>
      </c>
      <c r="BE4" s="180"/>
      <c r="BF4" s="179"/>
      <c r="BG4" s="178"/>
      <c r="BH4" s="65"/>
    </row>
    <row r="5" spans="1:224" ht="32.4" customHeight="1" x14ac:dyDescent="0.5">
      <c r="A5" s="13" t="s">
        <v>8</v>
      </c>
      <c r="B5" s="3" t="s">
        <v>9</v>
      </c>
      <c r="C5" s="2">
        <v>1902</v>
      </c>
      <c r="D5" s="34" t="s">
        <v>10</v>
      </c>
      <c r="E5" s="248" t="s">
        <v>364</v>
      </c>
      <c r="F5" s="140">
        <v>17</v>
      </c>
      <c r="G5" s="248">
        <v>4</v>
      </c>
      <c r="H5" s="74" t="s">
        <v>197</v>
      </c>
      <c r="I5" s="73"/>
      <c r="J5" s="126">
        <v>1</v>
      </c>
      <c r="K5" s="127"/>
      <c r="L5" s="134">
        <v>2</v>
      </c>
      <c r="M5" s="148"/>
      <c r="N5" s="126">
        <v>1</v>
      </c>
      <c r="O5" s="73"/>
      <c r="P5" s="126"/>
      <c r="Q5" s="126"/>
      <c r="R5" s="148"/>
      <c r="S5" s="126"/>
      <c r="T5" s="148"/>
      <c r="U5" s="127"/>
      <c r="V5" s="134"/>
      <c r="W5" s="127"/>
      <c r="X5" s="126"/>
      <c r="Y5" s="126"/>
      <c r="Z5" s="126"/>
      <c r="AA5" s="73"/>
      <c r="AB5" s="73"/>
      <c r="AC5" s="74" t="s">
        <v>197</v>
      </c>
      <c r="AD5" s="157"/>
      <c r="AE5" s="159"/>
      <c r="AF5" s="161"/>
      <c r="AG5" s="160">
        <v>2</v>
      </c>
      <c r="AH5" s="161">
        <v>1</v>
      </c>
      <c r="AI5" s="161"/>
      <c r="AJ5" s="181"/>
      <c r="AK5" s="157">
        <v>1</v>
      </c>
      <c r="AL5" s="159">
        <v>4</v>
      </c>
      <c r="AM5" s="161"/>
      <c r="AN5" s="157"/>
      <c r="AO5" s="161"/>
      <c r="AP5" s="159"/>
      <c r="AQ5" s="157"/>
      <c r="AR5" s="182"/>
      <c r="AS5" s="161"/>
      <c r="AT5" s="157">
        <v>2</v>
      </c>
      <c r="AU5" s="182"/>
      <c r="AV5" s="161"/>
      <c r="AW5" s="157">
        <v>1</v>
      </c>
      <c r="AX5" s="182"/>
      <c r="AY5" s="157">
        <v>1</v>
      </c>
      <c r="AZ5" s="161"/>
      <c r="BA5" s="159"/>
      <c r="BB5" s="182"/>
      <c r="BC5" s="160">
        <v>3</v>
      </c>
      <c r="BD5" s="159">
        <v>2</v>
      </c>
      <c r="BE5" s="183"/>
      <c r="BF5" s="182"/>
      <c r="BG5" s="181"/>
      <c r="BH5" s="65"/>
    </row>
    <row r="6" spans="1:224" ht="36.6" customHeight="1" x14ac:dyDescent="0.5">
      <c r="A6" s="13" t="s">
        <v>11</v>
      </c>
      <c r="B6" s="3" t="s">
        <v>12</v>
      </c>
      <c r="C6" s="2">
        <v>1903</v>
      </c>
      <c r="D6" s="35" t="s">
        <v>7</v>
      </c>
      <c r="E6" s="248" t="s">
        <v>428</v>
      </c>
      <c r="F6" s="140">
        <v>89</v>
      </c>
      <c r="G6" s="248">
        <v>48</v>
      </c>
      <c r="H6" s="74" t="s">
        <v>195</v>
      </c>
      <c r="I6" s="73">
        <v>27</v>
      </c>
      <c r="J6" s="126">
        <v>9</v>
      </c>
      <c r="K6" s="127">
        <v>1</v>
      </c>
      <c r="L6" s="134"/>
      <c r="M6" s="255">
        <v>5</v>
      </c>
      <c r="N6" s="126">
        <v>2</v>
      </c>
      <c r="O6" s="73">
        <v>2</v>
      </c>
      <c r="P6" s="126">
        <v>1</v>
      </c>
      <c r="Q6" s="126"/>
      <c r="R6" s="148">
        <v>1</v>
      </c>
      <c r="S6" s="126"/>
      <c r="T6" s="148"/>
      <c r="U6" s="127"/>
      <c r="V6" s="134"/>
      <c r="W6" s="127"/>
      <c r="X6" s="126"/>
      <c r="Y6" s="126"/>
      <c r="Z6" s="126"/>
      <c r="AA6" s="73"/>
      <c r="AB6" s="73"/>
      <c r="AC6" s="74" t="s">
        <v>195</v>
      </c>
      <c r="AD6" s="157">
        <v>21</v>
      </c>
      <c r="AE6" s="159">
        <v>1</v>
      </c>
      <c r="AF6" s="161"/>
      <c r="AG6" s="160">
        <v>4</v>
      </c>
      <c r="AH6" s="161"/>
      <c r="AI6" s="161"/>
      <c r="AJ6" s="181"/>
      <c r="AK6" s="157">
        <v>19</v>
      </c>
      <c r="AL6" s="159">
        <v>6</v>
      </c>
      <c r="AM6" s="161"/>
      <c r="AN6" s="259">
        <v>17</v>
      </c>
      <c r="AO6" s="161">
        <v>1</v>
      </c>
      <c r="AP6" s="159">
        <v>1</v>
      </c>
      <c r="AQ6" s="157"/>
      <c r="AR6" s="182">
        <v>2</v>
      </c>
      <c r="AS6" s="161"/>
      <c r="AT6" s="157">
        <v>4</v>
      </c>
      <c r="AU6" s="182"/>
      <c r="AV6" s="161"/>
      <c r="AW6" s="157"/>
      <c r="AX6" s="276">
        <v>6</v>
      </c>
      <c r="AY6" s="157">
        <v>1</v>
      </c>
      <c r="AZ6" s="161">
        <v>1</v>
      </c>
      <c r="BA6" s="159"/>
      <c r="BB6" s="182"/>
      <c r="BC6" s="160">
        <v>3</v>
      </c>
      <c r="BD6" s="159"/>
      <c r="BE6" s="183">
        <v>1</v>
      </c>
      <c r="BF6" s="182">
        <v>1</v>
      </c>
      <c r="BG6" s="181"/>
      <c r="BH6" s="65"/>
    </row>
    <row r="7" spans="1:224" ht="39.6" customHeight="1" x14ac:dyDescent="0.5">
      <c r="A7" s="13" t="s">
        <v>13</v>
      </c>
      <c r="B7" s="3" t="s">
        <v>14</v>
      </c>
      <c r="C7" s="2">
        <v>1904</v>
      </c>
      <c r="D7" s="35" t="s">
        <v>15</v>
      </c>
      <c r="E7" s="248" t="s">
        <v>372</v>
      </c>
      <c r="F7" s="140">
        <v>38</v>
      </c>
      <c r="G7" s="248">
        <v>21</v>
      </c>
      <c r="H7" s="74" t="s">
        <v>198</v>
      </c>
      <c r="I7" s="73">
        <v>21</v>
      </c>
      <c r="J7" s="126"/>
      <c r="K7" s="127"/>
      <c r="L7" s="134"/>
      <c r="M7" s="148"/>
      <c r="N7" s="126"/>
      <c r="O7" s="73"/>
      <c r="P7" s="126"/>
      <c r="Q7" s="126"/>
      <c r="R7" s="148"/>
      <c r="S7" s="126"/>
      <c r="T7" s="148"/>
      <c r="U7" s="127"/>
      <c r="V7" s="134"/>
      <c r="W7" s="127"/>
      <c r="X7" s="126"/>
      <c r="Y7" s="126"/>
      <c r="Z7" s="126"/>
      <c r="AA7" s="73"/>
      <c r="AB7" s="73"/>
      <c r="AC7" s="74" t="s">
        <v>198</v>
      </c>
      <c r="AD7" s="157">
        <v>17</v>
      </c>
      <c r="AE7" s="159">
        <v>1</v>
      </c>
      <c r="AF7" s="161"/>
      <c r="AG7" s="160">
        <v>5</v>
      </c>
      <c r="AH7" s="161"/>
      <c r="AI7" s="161"/>
      <c r="AJ7" s="181"/>
      <c r="AK7" s="157"/>
      <c r="AL7" s="159">
        <v>3</v>
      </c>
      <c r="AM7" s="161"/>
      <c r="AN7" s="157">
        <v>3</v>
      </c>
      <c r="AO7" s="161"/>
      <c r="AP7" s="159"/>
      <c r="AQ7" s="157"/>
      <c r="AR7" s="182"/>
      <c r="AS7" s="161"/>
      <c r="AT7" s="157">
        <v>1</v>
      </c>
      <c r="AU7" s="276">
        <v>5</v>
      </c>
      <c r="AV7" s="161"/>
      <c r="AW7" s="157">
        <v>1</v>
      </c>
      <c r="AX7" s="182">
        <v>1</v>
      </c>
      <c r="AY7" s="157"/>
      <c r="AZ7" s="161"/>
      <c r="BA7" s="159">
        <v>1</v>
      </c>
      <c r="BB7" s="182"/>
      <c r="BC7" s="160"/>
      <c r="BD7" s="159"/>
      <c r="BE7" s="183"/>
      <c r="BF7" s="182"/>
      <c r="BG7" s="181"/>
      <c r="BH7" s="65"/>
    </row>
    <row r="8" spans="1:224" s="30" customFormat="1" ht="36.6" customHeight="1" thickBot="1" x14ac:dyDescent="0.55000000000000004">
      <c r="A8" s="14" t="s">
        <v>16</v>
      </c>
      <c r="B8" s="15" t="s">
        <v>17</v>
      </c>
      <c r="C8" s="16">
        <v>1905</v>
      </c>
      <c r="D8" s="36" t="s">
        <v>7</v>
      </c>
      <c r="E8" s="248" t="s">
        <v>427</v>
      </c>
      <c r="F8" s="139">
        <v>139</v>
      </c>
      <c r="G8" s="247">
        <v>48</v>
      </c>
      <c r="H8" s="75" t="s">
        <v>194</v>
      </c>
      <c r="I8" s="139">
        <v>15</v>
      </c>
      <c r="J8" s="138">
        <v>12</v>
      </c>
      <c r="K8" s="128"/>
      <c r="L8" s="281">
        <v>5</v>
      </c>
      <c r="M8" s="149"/>
      <c r="N8" s="138">
        <v>8</v>
      </c>
      <c r="O8" s="139">
        <v>2</v>
      </c>
      <c r="P8" s="138"/>
      <c r="Q8" s="295">
        <v>3</v>
      </c>
      <c r="R8" s="296"/>
      <c r="S8" s="138"/>
      <c r="T8" s="149"/>
      <c r="U8" s="128"/>
      <c r="V8" s="176">
        <v>1</v>
      </c>
      <c r="W8" s="128"/>
      <c r="X8" s="138"/>
      <c r="Y8" s="138"/>
      <c r="Z8" s="138"/>
      <c r="AA8" s="287">
        <v>1</v>
      </c>
      <c r="AB8" s="287">
        <v>1</v>
      </c>
      <c r="AC8" s="75" t="s">
        <v>194</v>
      </c>
      <c r="AD8" s="162">
        <v>17</v>
      </c>
      <c r="AE8" s="44">
        <v>1</v>
      </c>
      <c r="AF8" s="42"/>
      <c r="AG8" s="41">
        <v>35</v>
      </c>
      <c r="AH8" s="42">
        <v>12</v>
      </c>
      <c r="AI8" s="42"/>
      <c r="AJ8" s="45"/>
      <c r="AK8" s="162">
        <v>19</v>
      </c>
      <c r="AL8" s="44">
        <v>10</v>
      </c>
      <c r="AM8" s="42">
        <v>1</v>
      </c>
      <c r="AN8" s="162">
        <v>13</v>
      </c>
      <c r="AO8" s="42">
        <v>2</v>
      </c>
      <c r="AP8" s="44"/>
      <c r="AQ8" s="162">
        <v>5</v>
      </c>
      <c r="AR8" s="268">
        <v>5</v>
      </c>
      <c r="AS8" s="42">
        <v>1</v>
      </c>
      <c r="AT8" s="162">
        <v>8</v>
      </c>
      <c r="AU8" s="184">
        <v>2</v>
      </c>
      <c r="AV8" s="42"/>
      <c r="AW8" s="277">
        <v>5</v>
      </c>
      <c r="AX8" s="184"/>
      <c r="AY8" s="162">
        <v>1</v>
      </c>
      <c r="AZ8" s="42">
        <v>2</v>
      </c>
      <c r="BA8" s="44"/>
      <c r="BB8" s="184"/>
      <c r="BC8" s="41"/>
      <c r="BD8" s="44"/>
      <c r="BE8" s="185"/>
      <c r="BF8" s="184"/>
      <c r="BG8" s="45"/>
      <c r="BH8" s="65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</row>
    <row r="9" spans="1:224" ht="39.6" customHeight="1" thickTop="1" x14ac:dyDescent="0.5">
      <c r="A9" s="6" t="s">
        <v>11</v>
      </c>
      <c r="B9" s="7" t="s">
        <v>18</v>
      </c>
      <c r="C9" s="6">
        <v>1908</v>
      </c>
      <c r="D9" s="37" t="s">
        <v>7</v>
      </c>
      <c r="E9" s="298" t="s">
        <v>433</v>
      </c>
      <c r="F9" s="298">
        <v>310</v>
      </c>
      <c r="G9" s="298">
        <v>148</v>
      </c>
      <c r="H9" s="76" t="s">
        <v>190</v>
      </c>
      <c r="I9" s="282">
        <v>40</v>
      </c>
      <c r="J9" s="288">
        <v>21</v>
      </c>
      <c r="K9" s="289">
        <v>8</v>
      </c>
      <c r="L9" s="290">
        <v>25</v>
      </c>
      <c r="M9" s="150"/>
      <c r="N9" s="288">
        <v>15</v>
      </c>
      <c r="O9" s="292">
        <v>9</v>
      </c>
      <c r="P9" s="254">
        <v>6</v>
      </c>
      <c r="Q9" s="294"/>
      <c r="R9" s="297">
        <v>6</v>
      </c>
      <c r="S9" s="288">
        <v>6</v>
      </c>
      <c r="T9" s="150"/>
      <c r="U9" s="130"/>
      <c r="V9" s="135">
        <v>1</v>
      </c>
      <c r="W9" s="289">
        <v>4</v>
      </c>
      <c r="X9" s="288">
        <v>5</v>
      </c>
      <c r="Y9" s="129">
        <v>1</v>
      </c>
      <c r="Z9" s="129">
        <v>1</v>
      </c>
      <c r="AA9" s="140"/>
      <c r="AB9" s="140"/>
      <c r="AC9" s="76" t="s">
        <v>190</v>
      </c>
      <c r="AD9" s="261">
        <v>37</v>
      </c>
      <c r="AE9" s="166">
        <v>1</v>
      </c>
      <c r="AF9" s="168"/>
      <c r="AG9" s="272">
        <v>53</v>
      </c>
      <c r="AH9" s="168">
        <v>12</v>
      </c>
      <c r="AI9" s="168">
        <v>1</v>
      </c>
      <c r="AJ9" s="178"/>
      <c r="AK9" s="261">
        <v>29</v>
      </c>
      <c r="AL9" s="166">
        <v>29</v>
      </c>
      <c r="AM9" s="168">
        <v>1</v>
      </c>
      <c r="AN9" s="273">
        <v>56</v>
      </c>
      <c r="AO9" s="265">
        <v>7</v>
      </c>
      <c r="AP9" s="166">
        <v>4</v>
      </c>
      <c r="AQ9" s="273">
        <v>29</v>
      </c>
      <c r="AR9" s="274">
        <v>11</v>
      </c>
      <c r="AS9" s="265">
        <v>6</v>
      </c>
      <c r="AT9" s="164">
        <v>7</v>
      </c>
      <c r="AU9" s="179">
        <v>2</v>
      </c>
      <c r="AV9" s="168"/>
      <c r="AW9" s="164">
        <v>1</v>
      </c>
      <c r="AX9" s="267">
        <v>4</v>
      </c>
      <c r="AY9" s="261">
        <v>3</v>
      </c>
      <c r="AZ9" s="278">
        <v>4</v>
      </c>
      <c r="BA9" s="166">
        <v>2</v>
      </c>
      <c r="BB9" s="179"/>
      <c r="BC9" s="272">
        <v>7</v>
      </c>
      <c r="BD9" s="166">
        <v>1</v>
      </c>
      <c r="BE9" s="180"/>
      <c r="BF9" s="179">
        <v>2</v>
      </c>
      <c r="BG9" s="178">
        <v>1</v>
      </c>
      <c r="BH9" s="65"/>
    </row>
    <row r="10" spans="1:224" ht="37.200000000000003" customHeight="1" x14ac:dyDescent="0.5">
      <c r="A10" s="2" t="s">
        <v>19</v>
      </c>
      <c r="B10" s="3" t="s">
        <v>20</v>
      </c>
      <c r="C10" s="2">
        <v>1908</v>
      </c>
      <c r="D10" s="35" t="s">
        <v>15</v>
      </c>
      <c r="E10" s="249" t="s">
        <v>434</v>
      </c>
      <c r="F10" s="249">
        <v>153</v>
      </c>
      <c r="G10" s="248">
        <v>49</v>
      </c>
      <c r="H10" s="74" t="s">
        <v>191</v>
      </c>
      <c r="I10" s="73">
        <v>6</v>
      </c>
      <c r="J10" s="256">
        <v>16</v>
      </c>
      <c r="K10" s="127"/>
      <c r="L10" s="134">
        <v>3</v>
      </c>
      <c r="M10" s="148"/>
      <c r="N10" s="256">
        <v>13</v>
      </c>
      <c r="O10" s="73">
        <v>1</v>
      </c>
      <c r="P10" s="293">
        <v>10</v>
      </c>
      <c r="Q10" s="126"/>
      <c r="R10" s="148"/>
      <c r="S10" s="126"/>
      <c r="T10" s="148"/>
      <c r="U10" s="127"/>
      <c r="V10" s="134"/>
      <c r="W10" s="127"/>
      <c r="X10" s="126"/>
      <c r="Y10" s="126"/>
      <c r="Z10" s="126"/>
      <c r="AA10" s="73"/>
      <c r="AB10" s="73"/>
      <c r="AC10" s="74" t="s">
        <v>191</v>
      </c>
      <c r="AD10" s="259">
        <v>37</v>
      </c>
      <c r="AE10" s="159">
        <v>2</v>
      </c>
      <c r="AF10" s="161"/>
      <c r="AG10" s="160">
        <v>24</v>
      </c>
      <c r="AH10" s="161">
        <v>3</v>
      </c>
      <c r="AI10" s="161"/>
      <c r="AJ10" s="181">
        <v>1</v>
      </c>
      <c r="AK10" s="157">
        <v>12</v>
      </c>
      <c r="AL10" s="159">
        <v>14</v>
      </c>
      <c r="AM10" s="161"/>
      <c r="AN10" s="157">
        <v>10</v>
      </c>
      <c r="AO10" s="161">
        <v>2</v>
      </c>
      <c r="AP10" s="159"/>
      <c r="AQ10" s="259">
        <v>15</v>
      </c>
      <c r="AR10" s="182">
        <v>1</v>
      </c>
      <c r="AS10" s="266">
        <v>5</v>
      </c>
      <c r="AT10" s="271">
        <v>20</v>
      </c>
      <c r="AU10" s="182"/>
      <c r="AV10" s="161"/>
      <c r="AW10" s="157">
        <v>1</v>
      </c>
      <c r="AX10" s="182">
        <v>2</v>
      </c>
      <c r="AY10" s="157">
        <v>2</v>
      </c>
      <c r="AZ10" s="161"/>
      <c r="BA10" s="159"/>
      <c r="BB10" s="182">
        <v>1</v>
      </c>
      <c r="BC10" s="160"/>
      <c r="BD10" s="159"/>
      <c r="BE10" s="183"/>
      <c r="BF10" s="182">
        <v>1</v>
      </c>
      <c r="BG10" s="181"/>
      <c r="BH10" s="65"/>
    </row>
    <row r="11" spans="1:224" ht="37.200000000000003" customHeight="1" x14ac:dyDescent="0.5">
      <c r="A11" s="2" t="s">
        <v>23</v>
      </c>
      <c r="B11" s="3" t="s">
        <v>24</v>
      </c>
      <c r="C11" s="2">
        <v>1909</v>
      </c>
      <c r="D11" s="4" t="s">
        <v>15</v>
      </c>
      <c r="E11" s="248" t="s">
        <v>383</v>
      </c>
      <c r="F11" s="248">
        <v>100</v>
      </c>
      <c r="G11" s="248">
        <v>31</v>
      </c>
      <c r="H11" s="74"/>
      <c r="I11" s="73">
        <v>13</v>
      </c>
      <c r="J11" s="126">
        <v>5</v>
      </c>
      <c r="K11" s="283">
        <v>6</v>
      </c>
      <c r="L11" s="134"/>
      <c r="M11" s="148"/>
      <c r="N11" s="126">
        <v>6</v>
      </c>
      <c r="O11" s="73"/>
      <c r="P11" s="126">
        <v>1</v>
      </c>
      <c r="Q11" s="126"/>
      <c r="R11" s="148"/>
      <c r="S11" s="126"/>
      <c r="T11" s="148"/>
      <c r="U11" s="127"/>
      <c r="V11" s="134"/>
      <c r="W11" s="127"/>
      <c r="X11" s="126"/>
      <c r="Y11" s="126"/>
      <c r="Z11" s="126"/>
      <c r="AA11" s="73"/>
      <c r="AB11" s="73"/>
      <c r="AC11" s="74"/>
      <c r="AD11" s="157">
        <v>20</v>
      </c>
      <c r="AE11" s="159"/>
      <c r="AF11" s="161"/>
      <c r="AG11" s="160">
        <v>3</v>
      </c>
      <c r="AH11" s="161">
        <v>3</v>
      </c>
      <c r="AI11" s="161"/>
      <c r="AJ11" s="181"/>
      <c r="AK11" s="271">
        <v>31</v>
      </c>
      <c r="AL11" s="159">
        <v>8</v>
      </c>
      <c r="AM11" s="161"/>
      <c r="AN11" s="157">
        <v>11</v>
      </c>
      <c r="AO11" s="161"/>
      <c r="AP11" s="159">
        <v>2</v>
      </c>
      <c r="AQ11" s="157">
        <v>4</v>
      </c>
      <c r="AR11" s="182">
        <v>2</v>
      </c>
      <c r="AS11" s="161"/>
      <c r="AT11" s="157">
        <v>3</v>
      </c>
      <c r="AU11" s="182">
        <v>2</v>
      </c>
      <c r="AV11" s="161"/>
      <c r="AW11" s="157">
        <v>1</v>
      </c>
      <c r="AX11" s="269">
        <v>4</v>
      </c>
      <c r="AY11" s="157">
        <v>2</v>
      </c>
      <c r="AZ11" s="161"/>
      <c r="BA11" s="159"/>
      <c r="BB11" s="182">
        <v>1</v>
      </c>
      <c r="BC11" s="263">
        <v>3</v>
      </c>
      <c r="BD11" s="159"/>
      <c r="BE11" s="183"/>
      <c r="BF11" s="182"/>
      <c r="BG11" s="181"/>
      <c r="BH11" s="65"/>
    </row>
    <row r="12" spans="1:224" ht="36" customHeight="1" x14ac:dyDescent="0.5">
      <c r="A12" s="2" t="s">
        <v>21</v>
      </c>
      <c r="B12" s="3" t="s">
        <v>22</v>
      </c>
      <c r="C12" s="2">
        <v>1909</v>
      </c>
      <c r="D12" s="4" t="s">
        <v>7</v>
      </c>
      <c r="E12" s="248" t="s">
        <v>392</v>
      </c>
      <c r="F12" s="248">
        <v>122</v>
      </c>
      <c r="G12" s="248">
        <v>59</v>
      </c>
      <c r="H12" s="74" t="s">
        <v>186</v>
      </c>
      <c r="I12" s="73">
        <v>19</v>
      </c>
      <c r="J12" s="126">
        <v>11</v>
      </c>
      <c r="K12" s="283">
        <v>6</v>
      </c>
      <c r="L12" s="134"/>
      <c r="M12" s="291">
        <v>8</v>
      </c>
      <c r="N12" s="126">
        <v>3</v>
      </c>
      <c r="O12" s="73">
        <v>1</v>
      </c>
      <c r="P12" s="126">
        <v>3</v>
      </c>
      <c r="Q12" s="126"/>
      <c r="R12" s="255">
        <v>2</v>
      </c>
      <c r="S12" s="293">
        <v>1</v>
      </c>
      <c r="T12" s="258">
        <v>1</v>
      </c>
      <c r="U12" s="127"/>
      <c r="V12" s="134"/>
      <c r="W12" s="283">
        <v>1</v>
      </c>
      <c r="X12" s="126"/>
      <c r="Y12" s="293">
        <v>3</v>
      </c>
      <c r="Z12" s="126"/>
      <c r="AA12" s="73"/>
      <c r="AB12" s="73"/>
      <c r="AC12" s="74" t="s">
        <v>184</v>
      </c>
      <c r="AD12" s="157">
        <v>22</v>
      </c>
      <c r="AE12" s="159">
        <v>1</v>
      </c>
      <c r="AF12" s="161">
        <v>2</v>
      </c>
      <c r="AG12" s="160">
        <v>11</v>
      </c>
      <c r="AH12" s="161">
        <v>3</v>
      </c>
      <c r="AI12" s="161"/>
      <c r="AJ12" s="181"/>
      <c r="AK12" s="157">
        <v>13</v>
      </c>
      <c r="AL12" s="159">
        <v>11</v>
      </c>
      <c r="AM12" s="161"/>
      <c r="AN12" s="157">
        <v>9</v>
      </c>
      <c r="AO12" s="161"/>
      <c r="AP12" s="159"/>
      <c r="AQ12" s="259">
        <v>10</v>
      </c>
      <c r="AR12" s="182">
        <v>2</v>
      </c>
      <c r="AS12" s="299">
        <v>16</v>
      </c>
      <c r="AT12" s="157">
        <v>5</v>
      </c>
      <c r="AU12" s="182"/>
      <c r="AV12" s="161">
        <v>1</v>
      </c>
      <c r="AW12" s="259">
        <v>4</v>
      </c>
      <c r="AX12" s="182">
        <v>2</v>
      </c>
      <c r="AY12" s="271">
        <v>7</v>
      </c>
      <c r="AZ12" s="161">
        <v>1</v>
      </c>
      <c r="BA12" s="159"/>
      <c r="BB12" s="182"/>
      <c r="BC12" s="160">
        <v>1</v>
      </c>
      <c r="BD12" s="159"/>
      <c r="BE12" s="183"/>
      <c r="BF12" s="182"/>
      <c r="BG12" s="181">
        <v>1</v>
      </c>
      <c r="BH12" s="65"/>
    </row>
    <row r="13" spans="1:224" ht="35.4" customHeight="1" x14ac:dyDescent="0.5">
      <c r="A13" s="2" t="s">
        <v>25</v>
      </c>
      <c r="B13" s="3" t="s">
        <v>26</v>
      </c>
      <c r="C13" s="2">
        <v>1910</v>
      </c>
      <c r="D13" s="35" t="s">
        <v>7</v>
      </c>
      <c r="E13" s="248" t="s">
        <v>397</v>
      </c>
      <c r="F13" s="248">
        <v>29</v>
      </c>
      <c r="G13" s="248">
        <v>3</v>
      </c>
      <c r="H13" s="74" t="s">
        <v>194</v>
      </c>
      <c r="I13" s="73">
        <v>2</v>
      </c>
      <c r="J13" s="126"/>
      <c r="K13" s="127"/>
      <c r="L13" s="134"/>
      <c r="M13" s="148"/>
      <c r="N13" s="126"/>
      <c r="O13" s="73">
        <v>1</v>
      </c>
      <c r="P13" s="126"/>
      <c r="Q13" s="126"/>
      <c r="R13" s="148"/>
      <c r="S13" s="126"/>
      <c r="T13" s="148"/>
      <c r="U13" s="127"/>
      <c r="V13" s="134"/>
      <c r="W13" s="127"/>
      <c r="X13" s="126"/>
      <c r="Y13" s="126"/>
      <c r="Z13" s="126"/>
      <c r="AA13" s="73"/>
      <c r="AB13" s="73"/>
      <c r="AC13" s="74" t="s">
        <v>197</v>
      </c>
      <c r="AD13" s="157"/>
      <c r="AE13" s="159"/>
      <c r="AF13" s="161"/>
      <c r="AG13" s="160">
        <v>3</v>
      </c>
      <c r="AH13" s="161">
        <v>1</v>
      </c>
      <c r="AI13" s="161"/>
      <c r="AJ13" s="181"/>
      <c r="AK13" s="157">
        <v>10</v>
      </c>
      <c r="AL13" s="159">
        <v>3</v>
      </c>
      <c r="AM13" s="161"/>
      <c r="AN13" s="157">
        <v>1</v>
      </c>
      <c r="AO13" s="161"/>
      <c r="AP13" s="159">
        <v>3</v>
      </c>
      <c r="AQ13" s="157"/>
      <c r="AR13" s="182"/>
      <c r="AS13" s="275"/>
      <c r="AT13" s="157">
        <v>1</v>
      </c>
      <c r="AU13" s="182">
        <v>2</v>
      </c>
      <c r="AV13" s="161"/>
      <c r="AW13" s="157">
        <v>3</v>
      </c>
      <c r="AX13" s="182"/>
      <c r="AY13" s="157">
        <v>1</v>
      </c>
      <c r="AZ13" s="161"/>
      <c r="BA13" s="159"/>
      <c r="BB13" s="182"/>
      <c r="BC13" s="160"/>
      <c r="BD13" s="159">
        <v>1</v>
      </c>
      <c r="BE13" s="183"/>
      <c r="BF13" s="182"/>
      <c r="BG13" s="181"/>
      <c r="BH13" s="65"/>
    </row>
    <row r="14" spans="1:224" s="30" customFormat="1" ht="37.200000000000003" customHeight="1" thickBot="1" x14ac:dyDescent="0.55000000000000004">
      <c r="A14" s="29" t="s">
        <v>27</v>
      </c>
      <c r="B14" s="15" t="s">
        <v>28</v>
      </c>
      <c r="C14" s="16">
        <v>1910</v>
      </c>
      <c r="D14" s="36" t="s">
        <v>29</v>
      </c>
      <c r="E14" s="248" t="s">
        <v>402</v>
      </c>
      <c r="F14" s="247">
        <v>97</v>
      </c>
      <c r="G14" s="247">
        <v>38</v>
      </c>
      <c r="H14" s="75" t="s">
        <v>197</v>
      </c>
      <c r="I14" s="139">
        <v>12</v>
      </c>
      <c r="J14" s="138">
        <v>5</v>
      </c>
      <c r="K14" s="128">
        <v>3</v>
      </c>
      <c r="L14" s="176"/>
      <c r="M14" s="284">
        <v>8</v>
      </c>
      <c r="N14" s="138">
        <v>4</v>
      </c>
      <c r="O14" s="139">
        <v>2</v>
      </c>
      <c r="P14" s="285">
        <v>3</v>
      </c>
      <c r="Q14" s="138"/>
      <c r="R14" s="149"/>
      <c r="S14" s="138"/>
      <c r="T14" s="149"/>
      <c r="U14" s="128"/>
      <c r="V14" s="176"/>
      <c r="W14" s="128"/>
      <c r="X14" s="138">
        <v>1</v>
      </c>
      <c r="Y14" s="138"/>
      <c r="Z14" s="138"/>
      <c r="AA14" s="139"/>
      <c r="AB14" s="139"/>
      <c r="AC14" s="75" t="s">
        <v>195</v>
      </c>
      <c r="AD14" s="260">
        <v>31</v>
      </c>
      <c r="AE14" s="44">
        <v>1</v>
      </c>
      <c r="AF14" s="42"/>
      <c r="AG14" s="264">
        <v>41</v>
      </c>
      <c r="AH14" s="42">
        <v>2</v>
      </c>
      <c r="AI14" s="42"/>
      <c r="AJ14" s="45"/>
      <c r="AK14" s="162">
        <v>5</v>
      </c>
      <c r="AL14" s="44">
        <v>2</v>
      </c>
      <c r="AM14" s="42"/>
      <c r="AN14" s="162">
        <v>5</v>
      </c>
      <c r="AO14" s="42"/>
      <c r="AP14" s="44"/>
      <c r="AQ14" s="162">
        <v>4</v>
      </c>
      <c r="AR14" s="184">
        <v>1</v>
      </c>
      <c r="AS14" s="42">
        <v>4</v>
      </c>
      <c r="AT14" s="162"/>
      <c r="AU14" s="184">
        <v>1</v>
      </c>
      <c r="AV14" s="42"/>
      <c r="AW14" s="162"/>
      <c r="AX14" s="184"/>
      <c r="AY14" s="162"/>
      <c r="AZ14" s="42"/>
      <c r="BA14" s="44"/>
      <c r="BB14" s="184"/>
      <c r="BC14" s="41"/>
      <c r="BD14" s="44"/>
      <c r="BE14" s="185"/>
      <c r="BF14" s="184"/>
      <c r="BG14" s="45"/>
      <c r="BH14" s="65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</row>
    <row r="15" spans="1:224" ht="37.799999999999997" customHeight="1" thickTop="1" x14ac:dyDescent="0.5">
      <c r="A15" s="23" t="s">
        <v>30</v>
      </c>
      <c r="B15" s="7" t="s">
        <v>31</v>
      </c>
      <c r="C15" s="7">
        <v>1911</v>
      </c>
      <c r="D15" s="43" t="s">
        <v>7</v>
      </c>
      <c r="E15" s="248" t="s">
        <v>407</v>
      </c>
      <c r="F15" s="248">
        <v>33</v>
      </c>
      <c r="G15" s="248">
        <v>12</v>
      </c>
      <c r="H15" s="76" t="s">
        <v>186</v>
      </c>
      <c r="I15" s="140">
        <v>5</v>
      </c>
      <c r="J15" s="129">
        <v>4</v>
      </c>
      <c r="K15" s="130"/>
      <c r="L15" s="135"/>
      <c r="M15" s="150"/>
      <c r="N15" s="129">
        <v>2</v>
      </c>
      <c r="O15" s="140"/>
      <c r="P15" s="129"/>
      <c r="Q15" s="129"/>
      <c r="R15" s="150"/>
      <c r="S15" s="129"/>
      <c r="T15" s="150"/>
      <c r="U15" s="130">
        <v>1</v>
      </c>
      <c r="V15" s="135"/>
      <c r="W15" s="130"/>
      <c r="X15" s="129"/>
      <c r="Y15" s="129"/>
      <c r="Z15" s="129"/>
      <c r="AA15" s="140"/>
      <c r="AB15" s="140"/>
      <c r="AC15" s="76" t="s">
        <v>196</v>
      </c>
      <c r="AD15" s="164">
        <v>12</v>
      </c>
      <c r="AE15" s="166"/>
      <c r="AF15" s="168"/>
      <c r="AG15" s="167">
        <v>3</v>
      </c>
      <c r="AH15" s="168">
        <v>1</v>
      </c>
      <c r="AI15" s="168"/>
      <c r="AJ15" s="178"/>
      <c r="AK15" s="164">
        <v>7</v>
      </c>
      <c r="AL15" s="166">
        <v>1</v>
      </c>
      <c r="AM15" s="168"/>
      <c r="AN15" s="164">
        <v>2</v>
      </c>
      <c r="AO15" s="168"/>
      <c r="AP15" s="166"/>
      <c r="AQ15" s="164"/>
      <c r="AR15" s="179"/>
      <c r="AS15" s="168"/>
      <c r="AT15" s="164">
        <v>3</v>
      </c>
      <c r="AU15" s="179">
        <v>2</v>
      </c>
      <c r="AV15" s="168">
        <v>1</v>
      </c>
      <c r="AW15" s="164">
        <v>1</v>
      </c>
      <c r="AX15" s="179"/>
      <c r="AY15" s="164"/>
      <c r="AZ15" s="168"/>
      <c r="BA15" s="166"/>
      <c r="BB15" s="179"/>
      <c r="BC15" s="167"/>
      <c r="BD15" s="166"/>
      <c r="BE15" s="180"/>
      <c r="BF15" s="179"/>
      <c r="BG15" s="178"/>
      <c r="BH15" s="65"/>
    </row>
    <row r="16" spans="1:224" ht="37.799999999999997" customHeight="1" x14ac:dyDescent="0.5">
      <c r="A16" s="13" t="s">
        <v>32</v>
      </c>
      <c r="B16" s="3" t="s">
        <v>33</v>
      </c>
      <c r="C16" s="2">
        <v>1912</v>
      </c>
      <c r="D16" s="35" t="s">
        <v>7</v>
      </c>
      <c r="E16" s="248" t="s">
        <v>412</v>
      </c>
      <c r="F16" s="248">
        <v>34</v>
      </c>
      <c r="G16" s="248">
        <v>27</v>
      </c>
      <c r="H16" s="74" t="s">
        <v>187</v>
      </c>
      <c r="I16" s="73">
        <v>9</v>
      </c>
      <c r="J16" s="126">
        <v>7</v>
      </c>
      <c r="K16" s="127">
        <v>2</v>
      </c>
      <c r="L16" s="134"/>
      <c r="M16" s="148">
        <v>2</v>
      </c>
      <c r="N16" s="126">
        <v>1</v>
      </c>
      <c r="O16" s="286">
        <v>3</v>
      </c>
      <c r="P16" s="126"/>
      <c r="Q16" s="126">
        <v>2</v>
      </c>
      <c r="R16" s="148"/>
      <c r="S16" s="126"/>
      <c r="T16" s="148">
        <v>1</v>
      </c>
      <c r="U16" s="127"/>
      <c r="V16" s="134"/>
      <c r="W16" s="127"/>
      <c r="X16" s="126"/>
      <c r="Y16" s="126"/>
      <c r="Z16" s="126"/>
      <c r="AA16" s="73"/>
      <c r="AB16" s="73"/>
      <c r="AC16" s="74" t="s">
        <v>193</v>
      </c>
      <c r="AD16" s="157">
        <v>5</v>
      </c>
      <c r="AE16" s="159">
        <v>1</v>
      </c>
      <c r="AF16" s="161"/>
      <c r="AG16" s="160">
        <v>12</v>
      </c>
      <c r="AH16" s="161">
        <v>1</v>
      </c>
      <c r="AI16" s="161"/>
      <c r="AJ16" s="181"/>
      <c r="AK16" s="157">
        <v>4</v>
      </c>
      <c r="AL16" s="159"/>
      <c r="AM16" s="161"/>
      <c r="AN16" s="157">
        <v>5</v>
      </c>
      <c r="AO16" s="161"/>
      <c r="AP16" s="159"/>
      <c r="AQ16" s="157">
        <v>1</v>
      </c>
      <c r="AR16" s="182"/>
      <c r="AS16" s="161"/>
      <c r="AT16" s="157"/>
      <c r="AU16" s="182"/>
      <c r="AV16" s="161"/>
      <c r="AW16" s="157">
        <v>2</v>
      </c>
      <c r="AX16" s="182">
        <v>2</v>
      </c>
      <c r="AY16" s="157"/>
      <c r="AZ16" s="161"/>
      <c r="BA16" s="159"/>
      <c r="BB16" s="182"/>
      <c r="BC16" s="160"/>
      <c r="BD16" s="159"/>
      <c r="BE16" s="183"/>
      <c r="BF16" s="182"/>
      <c r="BG16" s="181">
        <v>1</v>
      </c>
      <c r="BH16" s="65"/>
    </row>
    <row r="17" spans="1:224" ht="36.6" customHeight="1" x14ac:dyDescent="0.5">
      <c r="A17" s="13" t="s">
        <v>34</v>
      </c>
      <c r="B17" s="3" t="s">
        <v>35</v>
      </c>
      <c r="C17" s="2">
        <v>1913</v>
      </c>
      <c r="D17" s="35" t="s">
        <v>7</v>
      </c>
      <c r="E17" s="249" t="s">
        <v>437</v>
      </c>
      <c r="F17" s="249">
        <v>195</v>
      </c>
      <c r="G17" s="249">
        <v>86</v>
      </c>
      <c r="H17" s="74" t="s">
        <v>197</v>
      </c>
      <c r="I17" s="73">
        <v>14</v>
      </c>
      <c r="J17" s="256">
        <v>20</v>
      </c>
      <c r="K17" s="127"/>
      <c r="L17" s="257">
        <v>18</v>
      </c>
      <c r="M17" s="148"/>
      <c r="N17" s="256">
        <v>12</v>
      </c>
      <c r="O17" s="286">
        <v>7</v>
      </c>
      <c r="P17" s="126">
        <v>3</v>
      </c>
      <c r="Q17" s="256">
        <v>3</v>
      </c>
      <c r="R17" s="148"/>
      <c r="S17" s="126"/>
      <c r="T17" s="291">
        <v>2</v>
      </c>
      <c r="U17" s="127"/>
      <c r="V17" s="134">
        <v>1</v>
      </c>
      <c r="W17" s="127">
        <v>2</v>
      </c>
      <c r="X17" s="126">
        <v>2</v>
      </c>
      <c r="Y17" s="126"/>
      <c r="Z17" s="293">
        <v>2</v>
      </c>
      <c r="AA17" s="73"/>
      <c r="AB17" s="73"/>
      <c r="AC17" s="74" t="s">
        <v>190</v>
      </c>
      <c r="AD17" s="271">
        <v>42</v>
      </c>
      <c r="AE17" s="159">
        <v>1</v>
      </c>
      <c r="AF17" s="161"/>
      <c r="AG17" s="263">
        <v>42</v>
      </c>
      <c r="AH17" s="161">
        <v>6</v>
      </c>
      <c r="AI17" s="161"/>
      <c r="AJ17" s="181"/>
      <c r="AK17" s="259">
        <v>26</v>
      </c>
      <c r="AL17" s="159">
        <v>12</v>
      </c>
      <c r="AM17" s="161"/>
      <c r="AN17" s="259">
        <v>16</v>
      </c>
      <c r="AO17" s="266">
        <v>5</v>
      </c>
      <c r="AP17" s="159"/>
      <c r="AQ17" s="157">
        <v>10</v>
      </c>
      <c r="AR17" s="269">
        <v>4</v>
      </c>
      <c r="AS17" s="161"/>
      <c r="AT17" s="259">
        <v>15</v>
      </c>
      <c r="AU17" s="182"/>
      <c r="AV17" s="161"/>
      <c r="AW17" s="157">
        <v>2</v>
      </c>
      <c r="AX17" s="182">
        <v>2</v>
      </c>
      <c r="AY17" s="157"/>
      <c r="AZ17" s="161"/>
      <c r="BA17" s="279">
        <v>5</v>
      </c>
      <c r="BB17" s="182">
        <v>1</v>
      </c>
      <c r="BC17" s="160">
        <v>3</v>
      </c>
      <c r="BD17" s="159"/>
      <c r="BE17" s="183"/>
      <c r="BF17" s="276">
        <v>3</v>
      </c>
      <c r="BG17" s="181"/>
      <c r="BH17" s="65"/>
    </row>
    <row r="18" spans="1:224" s="30" customFormat="1" ht="39.6" customHeight="1" thickBot="1" x14ac:dyDescent="0.55000000000000004">
      <c r="A18" s="14" t="s">
        <v>36</v>
      </c>
      <c r="B18" s="15" t="s">
        <v>37</v>
      </c>
      <c r="C18" s="16">
        <v>1914</v>
      </c>
      <c r="D18" s="36" t="s">
        <v>15</v>
      </c>
      <c r="E18" s="248" t="s">
        <v>420</v>
      </c>
      <c r="F18" s="247">
        <v>78</v>
      </c>
      <c r="G18" s="250">
        <v>70</v>
      </c>
      <c r="H18" s="81" t="s">
        <v>191</v>
      </c>
      <c r="I18" s="287">
        <v>45</v>
      </c>
      <c r="J18" s="138">
        <v>15</v>
      </c>
      <c r="K18" s="128"/>
      <c r="L18" s="176">
        <v>6</v>
      </c>
      <c r="M18" s="149"/>
      <c r="N18" s="138">
        <v>4</v>
      </c>
      <c r="O18" s="139"/>
      <c r="P18" s="138"/>
      <c r="Q18" s="138"/>
      <c r="R18" s="149"/>
      <c r="S18" s="138"/>
      <c r="T18" s="149"/>
      <c r="U18" s="128"/>
      <c r="V18" s="176"/>
      <c r="W18" s="128"/>
      <c r="X18" s="138"/>
      <c r="Y18" s="138"/>
      <c r="Z18" s="138"/>
      <c r="AA18" s="139"/>
      <c r="AB18" s="139"/>
      <c r="AC18" s="81" t="s">
        <v>191</v>
      </c>
      <c r="AD18" s="162">
        <v>18</v>
      </c>
      <c r="AE18" s="262">
        <v>2</v>
      </c>
      <c r="AF18" s="42"/>
      <c r="AG18" s="41">
        <v>7</v>
      </c>
      <c r="AH18" s="42">
        <v>2</v>
      </c>
      <c r="AI18" s="42"/>
      <c r="AJ18" s="45"/>
      <c r="AK18" s="162">
        <v>8</v>
      </c>
      <c r="AL18" s="44">
        <v>5</v>
      </c>
      <c r="AM18" s="42"/>
      <c r="AN18" s="162">
        <v>7</v>
      </c>
      <c r="AO18" s="42"/>
      <c r="AP18" s="44"/>
      <c r="AQ18" s="162">
        <v>2</v>
      </c>
      <c r="AR18" s="184">
        <v>2</v>
      </c>
      <c r="AS18" s="42">
        <v>1</v>
      </c>
      <c r="AT18" s="260">
        <v>10</v>
      </c>
      <c r="AU18" s="184">
        <v>1</v>
      </c>
      <c r="AV18" s="42">
        <v>1</v>
      </c>
      <c r="AW18" s="260">
        <v>4</v>
      </c>
      <c r="AX18" s="184"/>
      <c r="AY18" s="260">
        <v>3</v>
      </c>
      <c r="AZ18" s="270">
        <v>3</v>
      </c>
      <c r="BA18" s="44">
        <v>1</v>
      </c>
      <c r="BB18" s="184"/>
      <c r="BC18" s="41"/>
      <c r="BD18" s="44"/>
      <c r="BE18" s="185"/>
      <c r="BF18" s="184"/>
      <c r="BG18" s="45">
        <v>1</v>
      </c>
      <c r="BH18" s="65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</row>
    <row r="19" spans="1:224" s="46" customFormat="1" ht="36.6" customHeight="1" thickTop="1" thickBot="1" x14ac:dyDescent="0.35">
      <c r="A19" s="473"/>
      <c r="B19" s="473"/>
      <c r="C19" s="473"/>
      <c r="D19" s="474"/>
      <c r="E19" s="505" t="s">
        <v>444</v>
      </c>
      <c r="F19" s="431">
        <f>SUM(F4:F18)</f>
        <v>1558</v>
      </c>
      <c r="G19" s="431">
        <f>SUM(G4:G18)</f>
        <v>701</v>
      </c>
      <c r="H19" s="47" t="s">
        <v>116</v>
      </c>
      <c r="I19" s="431">
        <f t="shared" ref="I19:AB19" si="0">SUM(I4:I18)</f>
        <v>259</v>
      </c>
      <c r="J19" s="72">
        <f t="shared" ref="J19" si="1">SUM(J4:J18)</f>
        <v>134</v>
      </c>
      <c r="K19" s="105">
        <f t="shared" ref="K19:L19" si="2">SUM(K4:K18)</f>
        <v>26</v>
      </c>
      <c r="L19" s="115">
        <f t="shared" si="2"/>
        <v>62</v>
      </c>
      <c r="M19" s="117">
        <f t="shared" ref="M19" si="3">SUM(M4:M18)</f>
        <v>23</v>
      </c>
      <c r="N19" s="555">
        <v>78</v>
      </c>
      <c r="O19" s="431">
        <f t="shared" ref="O19:Q19" si="4">SUM(O4:O18)</f>
        <v>30</v>
      </c>
      <c r="P19" s="527">
        <f t="shared" si="4"/>
        <v>28</v>
      </c>
      <c r="Q19" s="72">
        <f t="shared" si="4"/>
        <v>10</v>
      </c>
      <c r="R19" s="116">
        <f t="shared" ref="R19" si="5">SUM(R4:R18)</f>
        <v>9</v>
      </c>
      <c r="S19" s="72">
        <f t="shared" si="0"/>
        <v>7</v>
      </c>
      <c r="T19" s="123">
        <f t="shared" ref="T19" si="6">SUM(T4:T18)</f>
        <v>4</v>
      </c>
      <c r="U19" s="118">
        <f t="shared" ref="U19:W19" si="7">SUM(U4:U18)</f>
        <v>4</v>
      </c>
      <c r="V19" s="48">
        <f t="shared" si="7"/>
        <v>3</v>
      </c>
      <c r="W19" s="122">
        <f t="shared" si="7"/>
        <v>7</v>
      </c>
      <c r="X19" s="523">
        <f>SUM(X4:X18)</f>
        <v>8</v>
      </c>
      <c r="Y19" s="557">
        <f t="shared" ref="Y19:Z19" si="8">SUM(Y4:Y18)</f>
        <v>4</v>
      </c>
      <c r="Z19" s="557">
        <f t="shared" si="8"/>
        <v>3</v>
      </c>
      <c r="AA19" s="530">
        <v>1</v>
      </c>
      <c r="AB19" s="530">
        <f t="shared" si="0"/>
        <v>1</v>
      </c>
      <c r="AC19" s="47" t="s">
        <v>116</v>
      </c>
      <c r="AD19" s="50">
        <f t="shared" ref="AD19:BG19" si="9">SUM(AD4:AD18)</f>
        <v>306</v>
      </c>
      <c r="AE19" s="49">
        <f t="shared" si="9"/>
        <v>12</v>
      </c>
      <c r="AF19" s="49">
        <f t="shared" si="9"/>
        <v>2</v>
      </c>
      <c r="AG19" s="50">
        <f t="shared" si="9"/>
        <v>269</v>
      </c>
      <c r="AH19" s="49">
        <f t="shared" si="9"/>
        <v>53</v>
      </c>
      <c r="AI19" s="49">
        <f t="shared" si="9"/>
        <v>1</v>
      </c>
      <c r="AJ19" s="49">
        <f t="shared" si="9"/>
        <v>1</v>
      </c>
      <c r="AK19" s="50">
        <f t="shared" si="9"/>
        <v>197</v>
      </c>
      <c r="AL19" s="49">
        <f t="shared" si="9"/>
        <v>117</v>
      </c>
      <c r="AM19" s="49">
        <f t="shared" si="9"/>
        <v>2</v>
      </c>
      <c r="AN19" s="119">
        <f t="shared" ref="AN19:AO19" si="10">SUM(AN4:AN18)</f>
        <v>163</v>
      </c>
      <c r="AO19" s="49">
        <f t="shared" si="10"/>
        <v>19</v>
      </c>
      <c r="AP19" s="117">
        <f t="shared" ref="AP19" si="11">SUM(AP4:AP18)</f>
        <v>10</v>
      </c>
      <c r="AQ19" s="50">
        <f t="shared" si="9"/>
        <v>88</v>
      </c>
      <c r="AR19" s="49">
        <f t="shared" si="9"/>
        <v>32</v>
      </c>
      <c r="AS19" s="49">
        <f t="shared" si="9"/>
        <v>36</v>
      </c>
      <c r="AT19" s="50">
        <f t="shared" si="9"/>
        <v>88</v>
      </c>
      <c r="AU19" s="49">
        <f t="shared" si="9"/>
        <v>17</v>
      </c>
      <c r="AV19" s="49">
        <f t="shared" si="9"/>
        <v>4</v>
      </c>
      <c r="AW19" s="50">
        <f t="shared" si="9"/>
        <v>28</v>
      </c>
      <c r="AX19" s="49">
        <f t="shared" si="9"/>
        <v>24</v>
      </c>
      <c r="AY19" s="50">
        <f t="shared" si="9"/>
        <v>23</v>
      </c>
      <c r="AZ19" s="49">
        <f t="shared" ref="AZ19:BA19" si="12">SUM(AZ4:AZ18)</f>
        <v>11</v>
      </c>
      <c r="BA19" s="49">
        <f t="shared" si="12"/>
        <v>10</v>
      </c>
      <c r="BB19" s="49">
        <f t="shared" si="9"/>
        <v>5</v>
      </c>
      <c r="BC19" s="119">
        <f t="shared" ref="BC19:BF19" si="13">SUM(BC4:BC18)</f>
        <v>21</v>
      </c>
      <c r="BD19" s="117">
        <f t="shared" si="13"/>
        <v>7</v>
      </c>
      <c r="BE19" s="120">
        <f t="shared" si="9"/>
        <v>1</v>
      </c>
      <c r="BF19" s="119">
        <f t="shared" si="13"/>
        <v>7</v>
      </c>
      <c r="BG19" s="253">
        <f t="shared" si="9"/>
        <v>4</v>
      </c>
      <c r="BH19" s="65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</row>
    <row r="20" spans="1:224" s="51" customFormat="1" ht="63.6" customHeight="1" thickTop="1" thickBot="1" x14ac:dyDescent="0.4">
      <c r="A20" s="470"/>
      <c r="B20" s="470"/>
      <c r="C20" s="470"/>
      <c r="D20" s="471"/>
      <c r="E20" s="506"/>
      <c r="F20" s="432"/>
      <c r="G20" s="432"/>
      <c r="H20" s="52" t="s">
        <v>115</v>
      </c>
      <c r="I20" s="432"/>
      <c r="J20" s="552">
        <v>160</v>
      </c>
      <c r="K20" s="553"/>
      <c r="L20" s="554">
        <v>85</v>
      </c>
      <c r="M20" s="554"/>
      <c r="N20" s="556"/>
      <c r="O20" s="432"/>
      <c r="P20" s="528"/>
      <c r="Q20" s="521">
        <v>19</v>
      </c>
      <c r="R20" s="529"/>
      <c r="S20" s="521">
        <v>15</v>
      </c>
      <c r="T20" s="529"/>
      <c r="U20" s="522"/>
      <c r="V20" s="561">
        <v>10</v>
      </c>
      <c r="W20" s="562"/>
      <c r="X20" s="524"/>
      <c r="Y20" s="558"/>
      <c r="Z20" s="558"/>
      <c r="AA20" s="531"/>
      <c r="AB20" s="531"/>
      <c r="AC20" s="52" t="s">
        <v>115</v>
      </c>
      <c r="AD20" s="521">
        <v>320</v>
      </c>
      <c r="AE20" s="529"/>
      <c r="AF20" s="522"/>
      <c r="AG20" s="521">
        <v>324</v>
      </c>
      <c r="AH20" s="529"/>
      <c r="AI20" s="529"/>
      <c r="AJ20" s="522"/>
      <c r="AK20" s="521">
        <v>316</v>
      </c>
      <c r="AL20" s="529"/>
      <c r="AM20" s="529"/>
      <c r="AN20" s="521">
        <v>192</v>
      </c>
      <c r="AO20" s="529"/>
      <c r="AP20" s="529"/>
      <c r="AQ20" s="521">
        <v>156</v>
      </c>
      <c r="AR20" s="529"/>
      <c r="AS20" s="522"/>
      <c r="AT20" s="521">
        <v>109</v>
      </c>
      <c r="AU20" s="529"/>
      <c r="AV20" s="522"/>
      <c r="AW20" s="521">
        <v>52</v>
      </c>
      <c r="AX20" s="522"/>
      <c r="AY20" s="521">
        <v>49</v>
      </c>
      <c r="AZ20" s="529"/>
      <c r="BA20" s="529"/>
      <c r="BB20" s="529"/>
      <c r="BC20" s="521">
        <v>29</v>
      </c>
      <c r="BD20" s="529"/>
      <c r="BE20" s="522"/>
      <c r="BF20" s="521">
        <v>11</v>
      </c>
      <c r="BG20" s="522"/>
      <c r="BH20" s="65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</row>
    <row r="21" spans="1:224" ht="15" customHeight="1" thickTop="1" x14ac:dyDescent="0.3">
      <c r="H21" s="77"/>
    </row>
    <row r="22" spans="1:224" ht="15" customHeight="1" x14ac:dyDescent="0.3"/>
  </sheetData>
  <mergeCells count="66">
    <mergeCell ref="A19:D19"/>
    <mergeCell ref="A20:D20"/>
    <mergeCell ref="D2:D3"/>
    <mergeCell ref="E2:E3"/>
    <mergeCell ref="G19:G20"/>
    <mergeCell ref="F19:F20"/>
    <mergeCell ref="J20:K20"/>
    <mergeCell ref="L20:M20"/>
    <mergeCell ref="N19:N20"/>
    <mergeCell ref="Z19:Z20"/>
    <mergeCell ref="E1:G1"/>
    <mergeCell ref="O19:O20"/>
    <mergeCell ref="E19:E20"/>
    <mergeCell ref="I19:I20"/>
    <mergeCell ref="Y19:Y20"/>
    <mergeCell ref="V20:W20"/>
    <mergeCell ref="S20:U20"/>
    <mergeCell ref="H1:H3"/>
    <mergeCell ref="N2:N3"/>
    <mergeCell ref="I2:I3"/>
    <mergeCell ref="L2:M2"/>
    <mergeCell ref="J2:K2"/>
    <mergeCell ref="A1:D1"/>
    <mergeCell ref="G2:G3"/>
    <mergeCell ref="F2:F3"/>
    <mergeCell ref="AB2:AB3"/>
    <mergeCell ref="P2:P3"/>
    <mergeCell ref="O2:O3"/>
    <mergeCell ref="AA2:AA3"/>
    <mergeCell ref="Y2:Y3"/>
    <mergeCell ref="A2:A3"/>
    <mergeCell ref="B2:B3"/>
    <mergeCell ref="C2:C3"/>
    <mergeCell ref="I1:AB1"/>
    <mergeCell ref="AD1:BG1"/>
    <mergeCell ref="Z2:Z3"/>
    <mergeCell ref="S2:U2"/>
    <mergeCell ref="Q2:R2"/>
    <mergeCell ref="AK2:AM2"/>
    <mergeCell ref="AQ2:AS2"/>
    <mergeCell ref="AT2:AV2"/>
    <mergeCell ref="AG2:AJ2"/>
    <mergeCell ref="AW2:AX2"/>
    <mergeCell ref="BC2:BE2"/>
    <mergeCell ref="AY2:BB2"/>
    <mergeCell ref="AD2:AF2"/>
    <mergeCell ref="V2:W2"/>
    <mergeCell ref="AN2:AP2"/>
    <mergeCell ref="AC1:AC3"/>
    <mergeCell ref="BF2:BG2"/>
    <mergeCell ref="BF20:BG20"/>
    <mergeCell ref="X19:X20"/>
    <mergeCell ref="X2:X3"/>
    <mergeCell ref="P19:P20"/>
    <mergeCell ref="Q20:R20"/>
    <mergeCell ref="AD20:AF20"/>
    <mergeCell ref="BC20:BE20"/>
    <mergeCell ref="AG20:AJ20"/>
    <mergeCell ref="AK20:AM20"/>
    <mergeCell ref="AN20:AP20"/>
    <mergeCell ref="AQ20:AS20"/>
    <mergeCell ref="AT20:AV20"/>
    <mergeCell ref="AY20:BB20"/>
    <mergeCell ref="AW20:AX20"/>
    <mergeCell ref="AB19:AB20"/>
    <mergeCell ref="AA19:AA20"/>
  </mergeCells>
  <conditionalFormatting sqref="A4:A10 A13 A15:A18">
    <cfRule type="colorScale" priority="4">
      <colorScale>
        <cfvo type="min"/>
        <cfvo type="max"/>
        <color rgb="FF63BE7B"/>
        <color rgb="FFFCFCFF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{68D0A5D1-54A8-4321-A776-12969B8BF207}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{BE9B8468-F20C-4DCA-AFE9-8C30D69BC9E5}</x14:id>
        </ext>
      </extLst>
    </cfRule>
  </conditionalFormatting>
  <hyperlinks>
    <hyperlink ref="D18" r:id="rId1" display="https://archive.org/details/throughspainreco00dickrich/page/n13/mode/2up" xr:uid="{00D58A56-C05D-4F28-AE39-0765A38E7557}"/>
    <hyperlink ref="D17" r:id="rId2" display="https://www.gutenberg.org/ebooks/7430" xr:uid="{976799EB-EE2E-41AE-A804-068786709E0F}"/>
    <hyperlink ref="D16" r:id="rId3" display="https://www.gutenberg.org/ebooks/40201" xr:uid="{1184C8E8-CD00-40B1-B785-4479C6148793}"/>
    <hyperlink ref="D10" r:id="rId4" display="https://archive.org/details/sunshadowinspain00elliuoft" xr:uid="{E6265CA6-B6A2-497C-A6BB-FC549E6805DA}"/>
    <hyperlink ref="D8" r:id="rId5" display="https://www.gutenberg.org/ebooks/27252" xr:uid="{4C916A8C-83A1-4CE5-8FCE-F4899EA4EA5E}"/>
    <hyperlink ref="D7" r:id="rId6" display="https://archive.org/details/atrampinspain00unkngoog/page/n8/mode/2up" xr:uid="{7CB03FBB-C2A1-450E-A993-C3E5E7F5BEA0}"/>
    <hyperlink ref="D6" r:id="rId7" display="https://www.gutenberg.org/ebooks/59944" xr:uid="{D427B5FC-4C71-4EE0-B6B1-1A77CD1BAABD}"/>
    <hyperlink ref="D4" r:id="rId8" display="https://www.gutenberg.org/ebooks/38767" xr:uid="{D8C2F8C7-BC7F-45FC-9ABC-563E2AC7152D}"/>
    <hyperlink ref="D9" r:id="rId9" display="https://www.gutenberg.org/ebooks/37944" xr:uid="{C2570753-1D19-4BDE-B281-42472877775D}"/>
    <hyperlink ref="D13" r:id="rId10" display="https://www.gutenberg.org/ebooks/41593" xr:uid="{740929AC-81F7-4200-817B-6CE71F449016}"/>
    <hyperlink ref="D5" r:id="rId11" display="https://archive.org/details/landofdons00will/page/n19/mode/2up" xr:uid="{A191E602-8F94-4BFD-9D97-843FEB5B3F67}"/>
    <hyperlink ref="D15" r:id="rId12" display="https://www.gutenberg.org/ebooks/40357" xr:uid="{F8D74BE4-01EF-4E59-BD05-399E10D1159A}"/>
    <hyperlink ref="D14" r:id="rId13" display="https://www.gutenberg.org/ebooks/author/39917" xr:uid="{F0810F31-2A0E-486E-A06C-C72C05F319AC}"/>
    <hyperlink ref="D12" r:id="rId14" display="https://www.gutenberg.org/ebooks/40356" xr:uid="{406B9BF6-57AD-4A90-9AAE-E4DA1CB6731E}"/>
    <hyperlink ref="D11" r:id="rId15" display="https://archive.org/details/spainoftodaynarr00shaw/page/n11/mode/2up" xr:uid="{5F22B9B1-530A-4E53-8260-10F3533BFA18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D0A5D1-54A8-4321-A776-12969B8BF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BE9B8468-F20C-4DCA-AFE9-8C30D69BC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6A57-726F-40DF-AD6C-B26CCBF049DF}">
  <sheetPr>
    <tabColor rgb="FF00B0F0"/>
  </sheetPr>
  <dimension ref="A1:BW23"/>
  <sheetViews>
    <sheetView topLeftCell="C1" zoomScale="50" zoomScaleNormal="50" workbookViewId="0">
      <selection activeCell="F13" sqref="F13"/>
    </sheetView>
  </sheetViews>
  <sheetFormatPr baseColWidth="10" defaultColWidth="8.88671875" defaultRowHeight="14.4" x14ac:dyDescent="0.3"/>
  <cols>
    <col min="1" max="1" width="79" customWidth="1"/>
    <col min="2" max="2" width="58.77734375" customWidth="1"/>
    <col min="3" max="3" width="26.88671875" customWidth="1"/>
    <col min="4" max="4" width="25.6640625" customWidth="1"/>
    <col min="5" max="5" width="36.33203125" customWidth="1"/>
    <col min="6" max="6" width="22.109375" customWidth="1"/>
    <col min="7" max="7" width="21.88671875" customWidth="1"/>
    <col min="8" max="8" width="33.21875" customWidth="1"/>
    <col min="9" max="9" width="22.77734375" customWidth="1"/>
    <col min="10" max="10" width="15.6640625" customWidth="1"/>
    <col min="11" max="11" width="16.5546875" customWidth="1"/>
    <col min="12" max="12" width="14.77734375" customWidth="1"/>
    <col min="13" max="13" width="15" customWidth="1"/>
    <col min="14" max="14" width="11" customWidth="1"/>
    <col min="15" max="15" width="14.5546875" customWidth="1"/>
    <col min="16" max="16" width="12.5546875" customWidth="1"/>
    <col min="17" max="17" width="25.44140625" customWidth="1"/>
    <col min="18" max="18" width="19.44140625" customWidth="1"/>
    <col min="19" max="19" width="17" customWidth="1"/>
    <col min="20" max="20" width="17.21875" customWidth="1"/>
    <col min="21" max="21" width="33.21875" customWidth="1"/>
    <col min="22" max="23" width="14.109375" customWidth="1"/>
    <col min="24" max="24" width="13.88671875" customWidth="1"/>
    <col min="25" max="25" width="11.44140625" customWidth="1"/>
    <col min="26" max="26" width="11" customWidth="1"/>
    <col min="27" max="27" width="13.44140625" customWidth="1"/>
    <col min="28" max="28" width="14.77734375" customWidth="1"/>
    <col min="29" max="29" width="10.5546875" customWidth="1"/>
    <col min="30" max="30" width="9.44140625" customWidth="1"/>
    <col min="31" max="31" width="11.21875" customWidth="1"/>
    <col min="32" max="32" width="17.5546875" customWidth="1"/>
    <col min="33" max="34" width="12.33203125" customWidth="1"/>
    <col min="35" max="35" width="13.21875" customWidth="1"/>
    <col min="36" max="37" width="15" customWidth="1"/>
    <col min="38" max="38" width="15.5546875" customWidth="1"/>
    <col min="39" max="39" width="16.77734375" customWidth="1"/>
    <col min="40" max="40" width="13.5546875" customWidth="1"/>
  </cols>
  <sheetData>
    <row r="1" spans="1:40" ht="46.8" customHeight="1" thickBot="1" x14ac:dyDescent="0.55000000000000004">
      <c r="A1" s="242" t="s">
        <v>0</v>
      </c>
      <c r="B1" s="243"/>
      <c r="C1" s="243"/>
      <c r="D1" s="243"/>
      <c r="E1" s="580" t="s">
        <v>352</v>
      </c>
      <c r="F1" s="581"/>
      <c r="G1" s="582"/>
      <c r="H1" s="461" t="s">
        <v>192</v>
      </c>
      <c r="I1" s="577" t="s">
        <v>128</v>
      </c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78"/>
      <c r="U1" s="461" t="s">
        <v>192</v>
      </c>
      <c r="V1" s="565" t="s">
        <v>103</v>
      </c>
      <c r="W1" s="566"/>
      <c r="X1" s="566"/>
      <c r="Y1" s="566"/>
      <c r="Z1" s="566"/>
      <c r="AA1" s="566"/>
      <c r="AB1" s="566"/>
      <c r="AC1" s="566"/>
      <c r="AD1" s="566"/>
      <c r="AE1" s="566"/>
      <c r="AF1" s="566"/>
      <c r="AG1" s="566"/>
      <c r="AH1" s="566"/>
      <c r="AI1" s="566"/>
      <c r="AJ1" s="566"/>
      <c r="AK1" s="566"/>
      <c r="AL1" s="566"/>
      <c r="AM1" s="566"/>
    </row>
    <row r="2" spans="1:40" ht="36.6" customHeight="1" thickTop="1" x14ac:dyDescent="0.3">
      <c r="A2" s="567" t="s">
        <v>1</v>
      </c>
      <c r="B2" s="569" t="s">
        <v>2</v>
      </c>
      <c r="C2" s="569" t="s">
        <v>3</v>
      </c>
      <c r="D2" s="571" t="s">
        <v>4</v>
      </c>
      <c r="E2" s="478" t="s">
        <v>360</v>
      </c>
      <c r="F2" s="547" t="s">
        <v>128</v>
      </c>
      <c r="G2" s="547" t="s">
        <v>103</v>
      </c>
      <c r="H2" s="496"/>
      <c r="I2" s="579" t="s">
        <v>241</v>
      </c>
      <c r="J2" s="439" t="s">
        <v>242</v>
      </c>
      <c r="K2" s="439" t="s">
        <v>243</v>
      </c>
      <c r="L2" s="439" t="s">
        <v>244</v>
      </c>
      <c r="M2" s="439" t="s">
        <v>245</v>
      </c>
      <c r="N2" s="439" t="s">
        <v>246</v>
      </c>
      <c r="O2" s="436" t="s">
        <v>247</v>
      </c>
      <c r="P2" s="437"/>
      <c r="Q2" s="439" t="s">
        <v>248</v>
      </c>
      <c r="R2" s="439" t="s">
        <v>249</v>
      </c>
      <c r="S2" s="439" t="s">
        <v>250</v>
      </c>
      <c r="T2" s="444" t="s">
        <v>251</v>
      </c>
      <c r="U2" s="496"/>
      <c r="V2" s="436" t="s">
        <v>252</v>
      </c>
      <c r="W2" s="437"/>
      <c r="X2" s="437"/>
      <c r="Y2" s="436" t="s">
        <v>323</v>
      </c>
      <c r="Z2" s="438"/>
      <c r="AA2" s="436" t="s">
        <v>253</v>
      </c>
      <c r="AB2" s="438"/>
      <c r="AC2" s="436" t="s">
        <v>254</v>
      </c>
      <c r="AD2" s="437"/>
      <c r="AE2" s="438"/>
      <c r="AF2" s="444" t="s">
        <v>319</v>
      </c>
      <c r="AG2" s="436" t="s">
        <v>255</v>
      </c>
      <c r="AH2" s="437"/>
      <c r="AI2" s="437"/>
      <c r="AJ2" s="438"/>
      <c r="AK2" s="575" t="s">
        <v>320</v>
      </c>
      <c r="AL2" s="436" t="s">
        <v>256</v>
      </c>
      <c r="AM2" s="574"/>
      <c r="AN2" s="1"/>
    </row>
    <row r="3" spans="1:40" ht="48.6" customHeight="1" thickBot="1" x14ac:dyDescent="0.35">
      <c r="A3" s="568"/>
      <c r="B3" s="570"/>
      <c r="C3" s="570"/>
      <c r="D3" s="572"/>
      <c r="E3" s="445"/>
      <c r="F3" s="480"/>
      <c r="G3" s="480"/>
      <c r="H3" s="497"/>
      <c r="I3" s="458"/>
      <c r="J3" s="440"/>
      <c r="K3" s="440"/>
      <c r="L3" s="440"/>
      <c r="M3" s="440"/>
      <c r="N3" s="440"/>
      <c r="O3" s="94" t="s">
        <v>137</v>
      </c>
      <c r="P3" s="26" t="s">
        <v>136</v>
      </c>
      <c r="Q3" s="440"/>
      <c r="R3" s="440"/>
      <c r="S3" s="440"/>
      <c r="T3" s="445"/>
      <c r="U3" s="497"/>
      <c r="V3" s="84" t="s">
        <v>132</v>
      </c>
      <c r="W3" s="18" t="s">
        <v>131</v>
      </c>
      <c r="X3" s="84" t="s">
        <v>133</v>
      </c>
      <c r="Y3" s="82" t="s">
        <v>321</v>
      </c>
      <c r="Z3" s="18" t="s">
        <v>322</v>
      </c>
      <c r="AA3" s="85" t="s">
        <v>359</v>
      </c>
      <c r="AB3" s="32" t="s">
        <v>358</v>
      </c>
      <c r="AC3" s="87" t="s">
        <v>134</v>
      </c>
      <c r="AD3" s="86" t="s">
        <v>56</v>
      </c>
      <c r="AE3" s="93" t="s">
        <v>138</v>
      </c>
      <c r="AF3" s="445"/>
      <c r="AG3" s="85" t="s">
        <v>450</v>
      </c>
      <c r="AH3" s="18" t="s">
        <v>129</v>
      </c>
      <c r="AI3" s="87" t="s">
        <v>52</v>
      </c>
      <c r="AJ3" s="88" t="s">
        <v>130</v>
      </c>
      <c r="AK3" s="576"/>
      <c r="AL3" s="89" t="s">
        <v>135</v>
      </c>
      <c r="AM3" s="86" t="s">
        <v>55</v>
      </c>
      <c r="AN3" s="1"/>
    </row>
    <row r="4" spans="1:40" ht="37.200000000000003" customHeight="1" thickTop="1" x14ac:dyDescent="0.5">
      <c r="A4" s="9" t="s">
        <v>5</v>
      </c>
      <c r="B4" s="10" t="s">
        <v>6</v>
      </c>
      <c r="C4" s="11">
        <v>1900</v>
      </c>
      <c r="D4" s="12" t="s">
        <v>7</v>
      </c>
      <c r="E4" s="244" t="s">
        <v>449</v>
      </c>
      <c r="F4" s="244">
        <v>16</v>
      </c>
      <c r="G4" s="137">
        <v>52</v>
      </c>
      <c r="H4" s="76" t="s">
        <v>193</v>
      </c>
      <c r="I4" s="310">
        <v>9</v>
      </c>
      <c r="J4" s="192">
        <v>4</v>
      </c>
      <c r="K4" s="192">
        <v>1</v>
      </c>
      <c r="L4" s="192">
        <v>2</v>
      </c>
      <c r="M4" s="192"/>
      <c r="N4" s="192"/>
      <c r="O4" s="192"/>
      <c r="P4" s="190"/>
      <c r="Q4" s="192"/>
      <c r="R4" s="192"/>
      <c r="S4" s="192"/>
      <c r="T4" s="227"/>
      <c r="U4" s="76" t="s">
        <v>193</v>
      </c>
      <c r="V4" s="193">
        <v>4</v>
      </c>
      <c r="W4" s="11">
        <v>8</v>
      </c>
      <c r="X4" s="193">
        <v>1</v>
      </c>
      <c r="Y4" s="142">
        <v>8</v>
      </c>
      <c r="Z4" s="147"/>
      <c r="AA4" s="192">
        <v>5</v>
      </c>
      <c r="AB4" s="189">
        <v>2</v>
      </c>
      <c r="AC4" s="190">
        <v>11</v>
      </c>
      <c r="AD4" s="11"/>
      <c r="AE4" s="189"/>
      <c r="AF4" s="192">
        <v>9</v>
      </c>
      <c r="AG4" s="192"/>
      <c r="AH4" s="11">
        <v>1</v>
      </c>
      <c r="AI4" s="190"/>
      <c r="AJ4" s="189"/>
      <c r="AK4" s="232">
        <v>2</v>
      </c>
      <c r="AL4" s="233"/>
      <c r="AM4" s="11">
        <v>1</v>
      </c>
      <c r="AN4" s="1"/>
    </row>
    <row r="5" spans="1:40" ht="33.6" customHeight="1" x14ac:dyDescent="0.5">
      <c r="A5" s="13" t="s">
        <v>8</v>
      </c>
      <c r="B5" s="3" t="s">
        <v>9</v>
      </c>
      <c r="C5" s="2">
        <v>1902</v>
      </c>
      <c r="D5" s="5" t="s">
        <v>10</v>
      </c>
      <c r="E5" s="248" t="s">
        <v>366</v>
      </c>
      <c r="F5" s="248"/>
      <c r="G5" s="140">
        <v>30</v>
      </c>
      <c r="H5" s="74" t="s">
        <v>197</v>
      </c>
      <c r="I5" s="198"/>
      <c r="J5" s="200"/>
      <c r="K5" s="200"/>
      <c r="L5" s="200"/>
      <c r="M5" s="200"/>
      <c r="N5" s="200"/>
      <c r="O5" s="200"/>
      <c r="P5" s="198"/>
      <c r="Q5" s="200"/>
      <c r="R5" s="200"/>
      <c r="S5" s="200"/>
      <c r="T5" s="228"/>
      <c r="U5" s="74" t="s">
        <v>197</v>
      </c>
      <c r="V5" s="201">
        <v>5</v>
      </c>
      <c r="W5" s="2">
        <v>4</v>
      </c>
      <c r="X5" s="201"/>
      <c r="Y5" s="143">
        <v>4</v>
      </c>
      <c r="Z5" s="255">
        <v>3</v>
      </c>
      <c r="AA5" s="200">
        <v>4</v>
      </c>
      <c r="AB5" s="197">
        <v>3</v>
      </c>
      <c r="AC5" s="198">
        <v>1</v>
      </c>
      <c r="AD5" s="2">
        <v>1</v>
      </c>
      <c r="AE5" s="197"/>
      <c r="AF5" s="200">
        <v>5</v>
      </c>
      <c r="AG5" s="200"/>
      <c r="AH5" s="2"/>
      <c r="AI5" s="198"/>
      <c r="AJ5" s="197"/>
      <c r="AK5" s="234"/>
      <c r="AL5" s="235"/>
      <c r="AM5" s="2"/>
      <c r="AN5" s="1"/>
    </row>
    <row r="6" spans="1:40" ht="35.4" customHeight="1" x14ac:dyDescent="0.5">
      <c r="A6" s="13" t="s">
        <v>11</v>
      </c>
      <c r="B6" s="3" t="s">
        <v>12</v>
      </c>
      <c r="C6" s="2">
        <v>1903</v>
      </c>
      <c r="D6" s="4" t="s">
        <v>7</v>
      </c>
      <c r="E6" s="249" t="s">
        <v>371</v>
      </c>
      <c r="F6" s="248">
        <v>11</v>
      </c>
      <c r="G6" s="249">
        <v>153</v>
      </c>
      <c r="H6" s="74" t="s">
        <v>195</v>
      </c>
      <c r="I6" s="198"/>
      <c r="J6" s="200">
        <v>4</v>
      </c>
      <c r="K6" s="200">
        <v>3</v>
      </c>
      <c r="L6" s="200">
        <v>3</v>
      </c>
      <c r="M6" s="200"/>
      <c r="N6" s="200">
        <v>1</v>
      </c>
      <c r="O6" s="200"/>
      <c r="P6" s="198"/>
      <c r="Q6" s="200"/>
      <c r="R6" s="200"/>
      <c r="S6" s="200"/>
      <c r="T6" s="228"/>
      <c r="U6" s="74" t="s">
        <v>195</v>
      </c>
      <c r="V6" s="201">
        <v>4</v>
      </c>
      <c r="W6" s="2">
        <v>9</v>
      </c>
      <c r="X6" s="201"/>
      <c r="Y6" s="143">
        <v>10</v>
      </c>
      <c r="Z6" s="148"/>
      <c r="AA6" s="200">
        <v>7</v>
      </c>
      <c r="AB6" s="197">
        <v>4</v>
      </c>
      <c r="AC6" s="198">
        <v>3</v>
      </c>
      <c r="AD6" s="328">
        <v>10</v>
      </c>
      <c r="AE6" s="197"/>
      <c r="AF6" s="200">
        <v>5</v>
      </c>
      <c r="AG6" s="340">
        <v>38</v>
      </c>
      <c r="AH6" s="328">
        <v>14</v>
      </c>
      <c r="AI6" s="198"/>
      <c r="AJ6" s="338">
        <v>15</v>
      </c>
      <c r="AK6" s="361">
        <v>34</v>
      </c>
      <c r="AL6" s="235"/>
      <c r="AM6" s="2"/>
      <c r="AN6" s="1"/>
    </row>
    <row r="7" spans="1:40" ht="31.2" customHeight="1" x14ac:dyDescent="0.5">
      <c r="A7" s="13" t="s">
        <v>13</v>
      </c>
      <c r="B7" s="3" t="s">
        <v>14</v>
      </c>
      <c r="C7" s="2">
        <v>1904</v>
      </c>
      <c r="D7" s="4" t="s">
        <v>15</v>
      </c>
      <c r="E7" s="249" t="s">
        <v>376</v>
      </c>
      <c r="F7" s="249">
        <v>23</v>
      </c>
      <c r="G7" s="140">
        <v>114</v>
      </c>
      <c r="H7" s="74" t="s">
        <v>198</v>
      </c>
      <c r="I7" s="198">
        <v>2</v>
      </c>
      <c r="J7" s="335">
        <v>5</v>
      </c>
      <c r="K7" s="200"/>
      <c r="L7" s="200"/>
      <c r="M7" s="200"/>
      <c r="N7" s="200"/>
      <c r="O7" s="340">
        <v>10</v>
      </c>
      <c r="P7" s="198">
        <v>1</v>
      </c>
      <c r="Q7" s="200"/>
      <c r="R7" s="340">
        <v>5</v>
      </c>
      <c r="S7" s="200"/>
      <c r="T7" s="228"/>
      <c r="U7" s="74" t="s">
        <v>198</v>
      </c>
      <c r="V7" s="339">
        <v>45</v>
      </c>
      <c r="W7" s="324">
        <v>20</v>
      </c>
      <c r="X7" s="201"/>
      <c r="Y7" s="355">
        <v>27</v>
      </c>
      <c r="Z7" s="148"/>
      <c r="AA7" s="200">
        <v>6</v>
      </c>
      <c r="AB7" s="197"/>
      <c r="AC7" s="198">
        <v>6</v>
      </c>
      <c r="AD7" s="2"/>
      <c r="AE7" s="197"/>
      <c r="AF7" s="200">
        <v>5</v>
      </c>
      <c r="AG7" s="200"/>
      <c r="AH7" s="2">
        <v>4</v>
      </c>
      <c r="AI7" s="198"/>
      <c r="AJ7" s="197">
        <v>1</v>
      </c>
      <c r="AK7" s="234"/>
      <c r="AL7" s="235"/>
      <c r="AM7" s="2"/>
      <c r="AN7" s="1"/>
    </row>
    <row r="8" spans="1:40" ht="38.4" customHeight="1" thickBot="1" x14ac:dyDescent="0.55000000000000004">
      <c r="A8" s="14" t="s">
        <v>16</v>
      </c>
      <c r="B8" s="15" t="s">
        <v>17</v>
      </c>
      <c r="C8" s="16">
        <v>1905</v>
      </c>
      <c r="D8" s="17" t="s">
        <v>7</v>
      </c>
      <c r="E8" s="247" t="s">
        <v>380</v>
      </c>
      <c r="F8" s="247">
        <v>13</v>
      </c>
      <c r="G8" s="250">
        <v>123</v>
      </c>
      <c r="H8" s="75" t="s">
        <v>194</v>
      </c>
      <c r="I8" s="347">
        <v>9</v>
      </c>
      <c r="J8" s="207">
        <v>3</v>
      </c>
      <c r="K8" s="207"/>
      <c r="L8" s="207">
        <v>1</v>
      </c>
      <c r="M8" s="207"/>
      <c r="N8" s="207"/>
      <c r="O8" s="207"/>
      <c r="P8" s="26"/>
      <c r="Q8" s="207"/>
      <c r="R8" s="207"/>
      <c r="S8" s="207"/>
      <c r="T8" s="229"/>
      <c r="U8" s="75" t="s">
        <v>194</v>
      </c>
      <c r="V8" s="354">
        <v>18</v>
      </c>
      <c r="W8" s="16">
        <v>4</v>
      </c>
      <c r="X8" s="208"/>
      <c r="Y8" s="359">
        <v>50</v>
      </c>
      <c r="Z8" s="149">
        <v>1</v>
      </c>
      <c r="AA8" s="207">
        <v>3</v>
      </c>
      <c r="AB8" s="350">
        <v>14</v>
      </c>
      <c r="AC8" s="26">
        <v>11</v>
      </c>
      <c r="AD8" s="16"/>
      <c r="AE8" s="205"/>
      <c r="AF8" s="348">
        <v>14</v>
      </c>
      <c r="AG8" s="207"/>
      <c r="AH8" s="16">
        <v>4</v>
      </c>
      <c r="AI8" s="26"/>
      <c r="AJ8" s="205"/>
      <c r="AK8" s="236">
        <v>4</v>
      </c>
      <c r="AL8" s="237"/>
      <c r="AM8" s="16"/>
      <c r="AN8" s="1"/>
    </row>
    <row r="9" spans="1:40" ht="34.200000000000003" customHeight="1" thickTop="1" x14ac:dyDescent="0.5">
      <c r="A9" s="6" t="s">
        <v>11</v>
      </c>
      <c r="B9" s="7" t="s">
        <v>18</v>
      </c>
      <c r="C9" s="6">
        <v>1908</v>
      </c>
      <c r="D9" s="8" t="s">
        <v>7</v>
      </c>
      <c r="E9" s="248" t="s">
        <v>383</v>
      </c>
      <c r="F9" s="249">
        <v>35</v>
      </c>
      <c r="G9" s="248">
        <v>96</v>
      </c>
      <c r="H9" s="76" t="s">
        <v>190</v>
      </c>
      <c r="I9" s="315">
        <v>14</v>
      </c>
      <c r="J9" s="352">
        <v>5</v>
      </c>
      <c r="K9" s="215">
        <v>1</v>
      </c>
      <c r="L9" s="360">
        <v>7</v>
      </c>
      <c r="M9" s="215"/>
      <c r="N9" s="360">
        <v>6</v>
      </c>
      <c r="O9" s="215"/>
      <c r="P9" s="212"/>
      <c r="Q9" s="215"/>
      <c r="R9" s="215">
        <v>1</v>
      </c>
      <c r="S9" s="215"/>
      <c r="T9" s="230">
        <v>1</v>
      </c>
      <c r="U9" s="76" t="s">
        <v>190</v>
      </c>
      <c r="V9" s="214">
        <v>8</v>
      </c>
      <c r="W9" s="6">
        <v>2</v>
      </c>
      <c r="X9" s="214"/>
      <c r="Y9" s="144">
        <v>7</v>
      </c>
      <c r="Z9" s="150">
        <v>1</v>
      </c>
      <c r="AA9" s="360">
        <v>24</v>
      </c>
      <c r="AB9" s="356">
        <v>13</v>
      </c>
      <c r="AC9" s="308">
        <v>16</v>
      </c>
      <c r="AD9" s="6">
        <v>2</v>
      </c>
      <c r="AE9" s="216">
        <v>2</v>
      </c>
      <c r="AF9" s="352">
        <v>15</v>
      </c>
      <c r="AG9" s="215"/>
      <c r="AH9" s="6">
        <v>1</v>
      </c>
      <c r="AI9" s="212">
        <v>2</v>
      </c>
      <c r="AJ9" s="216">
        <v>1</v>
      </c>
      <c r="AK9" s="238">
        <v>2</v>
      </c>
      <c r="AL9" s="209"/>
      <c r="AM9" s="6"/>
      <c r="AN9" s="1"/>
    </row>
    <row r="10" spans="1:40" ht="30.6" customHeight="1" x14ac:dyDescent="0.5">
      <c r="A10" s="2" t="s">
        <v>19</v>
      </c>
      <c r="B10" s="3" t="s">
        <v>20</v>
      </c>
      <c r="C10" s="2">
        <v>1908</v>
      </c>
      <c r="D10" s="4" t="s">
        <v>15</v>
      </c>
      <c r="E10" s="248" t="s">
        <v>387</v>
      </c>
      <c r="F10" s="248">
        <v>7</v>
      </c>
      <c r="G10" s="248">
        <v>82</v>
      </c>
      <c r="H10" s="74" t="s">
        <v>191</v>
      </c>
      <c r="I10" s="198">
        <v>7</v>
      </c>
      <c r="J10" s="200"/>
      <c r="K10" s="200"/>
      <c r="L10" s="200"/>
      <c r="M10" s="200"/>
      <c r="N10" s="200"/>
      <c r="O10" s="200"/>
      <c r="P10" s="198"/>
      <c r="Q10" s="200"/>
      <c r="R10" s="200"/>
      <c r="S10" s="200"/>
      <c r="T10" s="228"/>
      <c r="U10" s="74" t="s">
        <v>191</v>
      </c>
      <c r="V10" s="201">
        <v>9</v>
      </c>
      <c r="W10" s="2">
        <v>8</v>
      </c>
      <c r="X10" s="201"/>
      <c r="Y10" s="143">
        <v>22</v>
      </c>
      <c r="Z10" s="148">
        <v>1</v>
      </c>
      <c r="AA10" s="200">
        <v>5</v>
      </c>
      <c r="AB10" s="197"/>
      <c r="AC10" s="334">
        <v>19</v>
      </c>
      <c r="AD10" s="2"/>
      <c r="AE10" s="197">
        <v>1</v>
      </c>
      <c r="AF10" s="200">
        <v>9</v>
      </c>
      <c r="AG10" s="200"/>
      <c r="AH10" s="2">
        <v>1</v>
      </c>
      <c r="AI10" s="198">
        <v>1</v>
      </c>
      <c r="AJ10" s="197"/>
      <c r="AK10" s="357">
        <v>6</v>
      </c>
      <c r="AL10" s="194"/>
      <c r="AM10" s="2"/>
      <c r="AN10" s="1"/>
    </row>
    <row r="11" spans="1:40" ht="33" customHeight="1" x14ac:dyDescent="0.5">
      <c r="A11" s="2" t="s">
        <v>23</v>
      </c>
      <c r="B11" s="3" t="s">
        <v>24</v>
      </c>
      <c r="C11" s="2">
        <v>1909</v>
      </c>
      <c r="D11" s="4" t="s">
        <v>15</v>
      </c>
      <c r="E11" s="248" t="s">
        <v>391</v>
      </c>
      <c r="F11" s="248">
        <v>1</v>
      </c>
      <c r="G11" s="248">
        <v>35</v>
      </c>
      <c r="H11" s="74"/>
      <c r="I11" s="198"/>
      <c r="J11" s="200"/>
      <c r="K11" s="200"/>
      <c r="L11" s="200">
        <v>1</v>
      </c>
      <c r="M11" s="200"/>
      <c r="N11" s="200"/>
      <c r="O11" s="200"/>
      <c r="P11" s="198"/>
      <c r="Q11" s="200"/>
      <c r="R11" s="200"/>
      <c r="S11" s="200"/>
      <c r="T11" s="228"/>
      <c r="U11" s="74"/>
      <c r="V11" s="201">
        <v>2</v>
      </c>
      <c r="W11" s="2">
        <v>1</v>
      </c>
      <c r="X11" s="201"/>
      <c r="Y11" s="143">
        <v>4</v>
      </c>
      <c r="Z11" s="148"/>
      <c r="AA11" s="200">
        <v>8</v>
      </c>
      <c r="AB11" s="197">
        <v>3</v>
      </c>
      <c r="AC11" s="198">
        <v>4</v>
      </c>
      <c r="AD11" s="2"/>
      <c r="AE11" s="197"/>
      <c r="AF11" s="200">
        <v>10</v>
      </c>
      <c r="AG11" s="200">
        <v>1</v>
      </c>
      <c r="AH11" s="2">
        <v>1</v>
      </c>
      <c r="AI11" s="198">
        <v>1</v>
      </c>
      <c r="AJ11" s="197"/>
      <c r="AK11" s="234"/>
      <c r="AL11" s="194"/>
      <c r="AM11" s="2"/>
      <c r="AN11" s="1"/>
    </row>
    <row r="12" spans="1:40" ht="39.6" customHeight="1" x14ac:dyDescent="0.5">
      <c r="A12" s="2" t="s">
        <v>21</v>
      </c>
      <c r="B12" s="3" t="s">
        <v>22</v>
      </c>
      <c r="C12" s="2">
        <v>1909</v>
      </c>
      <c r="D12" s="4" t="s">
        <v>7</v>
      </c>
      <c r="E12" s="248" t="s">
        <v>396</v>
      </c>
      <c r="F12" s="248">
        <v>13</v>
      </c>
      <c r="G12" s="248">
        <v>70</v>
      </c>
      <c r="H12" s="74" t="s">
        <v>186</v>
      </c>
      <c r="I12" s="198"/>
      <c r="J12" s="200">
        <v>3</v>
      </c>
      <c r="K12" s="200"/>
      <c r="L12" s="335">
        <v>6</v>
      </c>
      <c r="M12" s="200"/>
      <c r="N12" s="200">
        <v>1</v>
      </c>
      <c r="O12" s="200"/>
      <c r="P12" s="198">
        <v>1</v>
      </c>
      <c r="Q12" s="200"/>
      <c r="R12" s="200"/>
      <c r="S12" s="200"/>
      <c r="T12" s="362">
        <v>2</v>
      </c>
      <c r="U12" s="74" t="s">
        <v>184</v>
      </c>
      <c r="V12" s="201">
        <v>4</v>
      </c>
      <c r="W12" s="2">
        <v>2</v>
      </c>
      <c r="X12" s="201"/>
      <c r="Y12" s="143">
        <v>19</v>
      </c>
      <c r="Z12" s="148">
        <v>1</v>
      </c>
      <c r="AA12" s="200">
        <v>19</v>
      </c>
      <c r="AB12" s="197">
        <v>5</v>
      </c>
      <c r="AC12" s="198">
        <v>6</v>
      </c>
      <c r="AD12" s="2"/>
      <c r="AE12" s="197">
        <v>2</v>
      </c>
      <c r="AF12" s="200">
        <v>10</v>
      </c>
      <c r="AG12" s="200"/>
      <c r="AH12" s="2"/>
      <c r="AI12" s="198"/>
      <c r="AJ12" s="197"/>
      <c r="AK12" s="234">
        <v>2</v>
      </c>
      <c r="AL12" s="194"/>
      <c r="AM12" s="2"/>
      <c r="AN12" s="1"/>
    </row>
    <row r="13" spans="1:40" ht="36.6" customHeight="1" x14ac:dyDescent="0.5">
      <c r="A13" s="2" t="s">
        <v>25</v>
      </c>
      <c r="B13" s="3" t="s">
        <v>26</v>
      </c>
      <c r="C13" s="2">
        <v>1910</v>
      </c>
      <c r="D13" s="4" t="s">
        <v>7</v>
      </c>
      <c r="E13" s="298" t="s">
        <v>401</v>
      </c>
      <c r="F13" s="298">
        <v>83</v>
      </c>
      <c r="G13" s="298">
        <v>199</v>
      </c>
      <c r="H13" s="74" t="s">
        <v>194</v>
      </c>
      <c r="I13" s="198">
        <v>6</v>
      </c>
      <c r="J13" s="340">
        <v>15</v>
      </c>
      <c r="K13" s="340">
        <v>18</v>
      </c>
      <c r="L13" s="200">
        <v>3</v>
      </c>
      <c r="M13" s="340">
        <v>25</v>
      </c>
      <c r="N13" s="340">
        <v>6</v>
      </c>
      <c r="O13" s="200"/>
      <c r="P13" s="198"/>
      <c r="Q13" s="340">
        <v>6</v>
      </c>
      <c r="R13" s="200"/>
      <c r="S13" s="340">
        <v>4</v>
      </c>
      <c r="T13" s="228"/>
      <c r="U13" s="74" t="s">
        <v>197</v>
      </c>
      <c r="V13" s="353">
        <v>15</v>
      </c>
      <c r="W13" s="328">
        <v>41</v>
      </c>
      <c r="X13" s="201"/>
      <c r="Y13" s="355">
        <v>30</v>
      </c>
      <c r="Z13" s="148"/>
      <c r="AA13" s="335">
        <v>13</v>
      </c>
      <c r="AB13" s="338">
        <v>16</v>
      </c>
      <c r="AC13" s="309">
        <v>17</v>
      </c>
      <c r="AD13" s="2">
        <v>1</v>
      </c>
      <c r="AE13" s="197">
        <v>1</v>
      </c>
      <c r="AF13" s="340">
        <v>16</v>
      </c>
      <c r="AG13" s="200"/>
      <c r="AH13" s="2">
        <v>1</v>
      </c>
      <c r="AI13" s="198"/>
      <c r="AJ13" s="197"/>
      <c r="AK13" s="234">
        <v>3</v>
      </c>
      <c r="AL13" s="317">
        <v>34</v>
      </c>
      <c r="AM13" s="328">
        <v>11</v>
      </c>
      <c r="AN13" s="1"/>
    </row>
    <row r="14" spans="1:40" ht="33.6" customHeight="1" thickBot="1" x14ac:dyDescent="0.55000000000000004">
      <c r="A14" s="21" t="s">
        <v>27</v>
      </c>
      <c r="B14" s="19" t="s">
        <v>28</v>
      </c>
      <c r="C14" s="18">
        <v>1910</v>
      </c>
      <c r="D14" s="20" t="s">
        <v>29</v>
      </c>
      <c r="E14" s="247" t="s">
        <v>406</v>
      </c>
      <c r="F14" s="247">
        <v>3</v>
      </c>
      <c r="G14" s="247">
        <v>30</v>
      </c>
      <c r="H14" s="75" t="s">
        <v>197</v>
      </c>
      <c r="I14" s="27"/>
      <c r="J14" s="218">
        <v>1</v>
      </c>
      <c r="K14" s="218"/>
      <c r="L14" s="218">
        <v>2</v>
      </c>
      <c r="M14" s="218"/>
      <c r="N14" s="218"/>
      <c r="O14" s="218"/>
      <c r="P14" s="27"/>
      <c r="Q14" s="218"/>
      <c r="R14" s="218"/>
      <c r="S14" s="218"/>
      <c r="T14" s="231"/>
      <c r="U14" s="75" t="s">
        <v>195</v>
      </c>
      <c r="V14" s="219">
        <v>6</v>
      </c>
      <c r="W14" s="18"/>
      <c r="X14" s="219"/>
      <c r="Y14" s="145">
        <v>5</v>
      </c>
      <c r="Z14" s="151"/>
      <c r="AA14" s="218">
        <v>2</v>
      </c>
      <c r="AB14" s="32">
        <v>3</v>
      </c>
      <c r="AC14" s="27">
        <v>1</v>
      </c>
      <c r="AD14" s="18"/>
      <c r="AE14" s="32"/>
      <c r="AF14" s="218">
        <v>11</v>
      </c>
      <c r="AG14" s="218"/>
      <c r="AH14" s="18">
        <v>1</v>
      </c>
      <c r="AI14" s="27"/>
      <c r="AJ14" s="32"/>
      <c r="AK14" s="239">
        <v>1</v>
      </c>
      <c r="AL14" s="240"/>
      <c r="AM14" s="18"/>
    </row>
    <row r="15" spans="1:40" ht="31.8" customHeight="1" thickTop="1" x14ac:dyDescent="0.5">
      <c r="A15" s="9" t="s">
        <v>30</v>
      </c>
      <c r="B15" s="10" t="s">
        <v>31</v>
      </c>
      <c r="C15" s="10">
        <v>1911</v>
      </c>
      <c r="D15" s="22" t="s">
        <v>7</v>
      </c>
      <c r="E15" s="248" t="s">
        <v>411</v>
      </c>
      <c r="F15" s="248">
        <v>13</v>
      </c>
      <c r="G15" s="248">
        <v>59</v>
      </c>
      <c r="H15" s="76" t="s">
        <v>186</v>
      </c>
      <c r="I15" s="190">
        <v>6</v>
      </c>
      <c r="J15" s="192">
        <v>2</v>
      </c>
      <c r="K15" s="192">
        <v>1</v>
      </c>
      <c r="L15" s="192">
        <v>1</v>
      </c>
      <c r="M15" s="192"/>
      <c r="N15" s="192"/>
      <c r="O15" s="192"/>
      <c r="P15" s="190">
        <v>1</v>
      </c>
      <c r="Q15" s="192">
        <v>1</v>
      </c>
      <c r="R15" s="192">
        <v>1</v>
      </c>
      <c r="S15" s="192"/>
      <c r="T15" s="227"/>
      <c r="U15" s="76" t="s">
        <v>196</v>
      </c>
      <c r="V15" s="193">
        <v>4</v>
      </c>
      <c r="W15" s="11">
        <v>5</v>
      </c>
      <c r="X15" s="193"/>
      <c r="Y15" s="142">
        <v>20</v>
      </c>
      <c r="Z15" s="147">
        <v>2</v>
      </c>
      <c r="AA15" s="192">
        <v>2</v>
      </c>
      <c r="AB15" s="189">
        <v>5</v>
      </c>
      <c r="AC15" s="190">
        <v>5</v>
      </c>
      <c r="AD15" s="11"/>
      <c r="AE15" s="189"/>
      <c r="AF15" s="192">
        <v>5</v>
      </c>
      <c r="AG15" s="192">
        <v>2</v>
      </c>
      <c r="AH15" s="11">
        <v>1</v>
      </c>
      <c r="AI15" s="190"/>
      <c r="AJ15" s="189">
        <v>2</v>
      </c>
      <c r="AK15" s="358">
        <v>6</v>
      </c>
      <c r="AL15" s="233"/>
      <c r="AM15" s="11"/>
    </row>
    <row r="16" spans="1:40" ht="38.4" customHeight="1" x14ac:dyDescent="0.5">
      <c r="A16" s="13" t="s">
        <v>32</v>
      </c>
      <c r="B16" s="3" t="s">
        <v>33</v>
      </c>
      <c r="C16" s="2">
        <v>1912</v>
      </c>
      <c r="D16" s="4" t="s">
        <v>7</v>
      </c>
      <c r="E16" s="248" t="s">
        <v>416</v>
      </c>
      <c r="F16" s="248">
        <v>2</v>
      </c>
      <c r="G16" s="248">
        <v>20</v>
      </c>
      <c r="H16" s="74" t="s">
        <v>187</v>
      </c>
      <c r="I16" s="198"/>
      <c r="J16" s="200">
        <v>1</v>
      </c>
      <c r="K16" s="200"/>
      <c r="L16" s="200"/>
      <c r="M16" s="200"/>
      <c r="N16" s="200">
        <v>1</v>
      </c>
      <c r="O16" s="200"/>
      <c r="P16" s="198"/>
      <c r="Q16" s="200"/>
      <c r="R16" s="200"/>
      <c r="S16" s="200"/>
      <c r="T16" s="228"/>
      <c r="U16" s="74" t="s">
        <v>193</v>
      </c>
      <c r="V16" s="201">
        <v>4</v>
      </c>
      <c r="W16" s="2">
        <v>2</v>
      </c>
      <c r="X16" s="201"/>
      <c r="Y16" s="143">
        <v>4</v>
      </c>
      <c r="Z16" s="148">
        <v>1</v>
      </c>
      <c r="AA16" s="200">
        <v>3</v>
      </c>
      <c r="AB16" s="197">
        <v>4</v>
      </c>
      <c r="AC16" s="198"/>
      <c r="AD16" s="2"/>
      <c r="AE16" s="197">
        <v>2</v>
      </c>
      <c r="AF16" s="200"/>
      <c r="AG16" s="200"/>
      <c r="AH16" s="2"/>
      <c r="AI16" s="198"/>
      <c r="AJ16" s="197"/>
      <c r="AK16" s="234"/>
      <c r="AL16" s="235"/>
      <c r="AM16" s="2"/>
    </row>
    <row r="17" spans="1:75" ht="36" customHeight="1" x14ac:dyDescent="0.5">
      <c r="A17" s="13" t="s">
        <v>34</v>
      </c>
      <c r="B17" s="3" t="s">
        <v>35</v>
      </c>
      <c r="C17" s="2">
        <v>1913</v>
      </c>
      <c r="D17" s="4" t="s">
        <v>7</v>
      </c>
      <c r="E17" s="248" t="s">
        <v>419</v>
      </c>
      <c r="F17" s="248">
        <v>17</v>
      </c>
      <c r="G17" s="248">
        <v>90</v>
      </c>
      <c r="H17" s="74" t="s">
        <v>197</v>
      </c>
      <c r="I17" s="309">
        <v>10</v>
      </c>
      <c r="J17" s="200">
        <v>1</v>
      </c>
      <c r="K17" s="200">
        <v>4</v>
      </c>
      <c r="L17" s="200">
        <v>2</v>
      </c>
      <c r="M17" s="200"/>
      <c r="N17" s="200"/>
      <c r="O17" s="200"/>
      <c r="P17" s="198"/>
      <c r="Q17" s="200"/>
      <c r="R17" s="200"/>
      <c r="S17" s="200"/>
      <c r="T17" s="228"/>
      <c r="U17" s="74" t="s">
        <v>190</v>
      </c>
      <c r="V17" s="201">
        <v>7</v>
      </c>
      <c r="W17" s="324">
        <v>13</v>
      </c>
      <c r="X17" s="201"/>
      <c r="Y17" s="143">
        <v>26</v>
      </c>
      <c r="Z17" s="148"/>
      <c r="AA17" s="200">
        <v>4</v>
      </c>
      <c r="AB17" s="197">
        <v>6</v>
      </c>
      <c r="AC17" s="198">
        <v>11</v>
      </c>
      <c r="AD17" s="2"/>
      <c r="AE17" s="197">
        <v>1</v>
      </c>
      <c r="AF17" s="200">
        <v>10</v>
      </c>
      <c r="AG17" s="200"/>
      <c r="AH17" s="324">
        <v>8</v>
      </c>
      <c r="AI17" s="198"/>
      <c r="AJ17" s="197"/>
      <c r="AK17" s="234">
        <v>4</v>
      </c>
      <c r="AL17" s="235"/>
      <c r="AM17" s="2"/>
    </row>
    <row r="18" spans="1:75" ht="37.200000000000003" customHeight="1" thickBot="1" x14ac:dyDescent="0.55000000000000004">
      <c r="A18" s="14" t="s">
        <v>36</v>
      </c>
      <c r="B18" s="15" t="s">
        <v>37</v>
      </c>
      <c r="C18" s="16">
        <v>1914</v>
      </c>
      <c r="D18" s="17" t="s">
        <v>15</v>
      </c>
      <c r="E18" s="247" t="s">
        <v>424</v>
      </c>
      <c r="F18" s="247">
        <v>3</v>
      </c>
      <c r="G18" s="247">
        <v>63</v>
      </c>
      <c r="H18" s="81" t="s">
        <v>191</v>
      </c>
      <c r="I18" s="26">
        <v>3</v>
      </c>
      <c r="J18" s="207"/>
      <c r="K18" s="207"/>
      <c r="L18" s="207"/>
      <c r="M18" s="207"/>
      <c r="N18" s="207"/>
      <c r="O18" s="207"/>
      <c r="P18" s="26"/>
      <c r="Q18" s="207"/>
      <c r="R18" s="207"/>
      <c r="S18" s="207"/>
      <c r="T18" s="229"/>
      <c r="U18" s="81" t="s">
        <v>191</v>
      </c>
      <c r="V18" s="208">
        <v>13</v>
      </c>
      <c r="W18" s="16">
        <v>7</v>
      </c>
      <c r="X18" s="208"/>
      <c r="Y18" s="146">
        <v>12</v>
      </c>
      <c r="Z18" s="149"/>
      <c r="AA18" s="207">
        <v>2</v>
      </c>
      <c r="AB18" s="205"/>
      <c r="AC18" s="26">
        <v>12</v>
      </c>
      <c r="AD18" s="16"/>
      <c r="AE18" s="205"/>
      <c r="AF18" s="348">
        <v>14</v>
      </c>
      <c r="AG18" s="207"/>
      <c r="AH18" s="16">
        <v>2</v>
      </c>
      <c r="AI18" s="26"/>
      <c r="AJ18" s="205"/>
      <c r="AK18" s="236"/>
      <c r="AL18" s="237"/>
      <c r="AM18" s="16">
        <v>1</v>
      </c>
    </row>
    <row r="19" spans="1:75" s="28" customFormat="1" ht="39.6" customHeight="1" thickTop="1" thickBot="1" x14ac:dyDescent="0.35">
      <c r="A19" s="473" t="s">
        <v>293</v>
      </c>
      <c r="B19" s="473"/>
      <c r="C19" s="473"/>
      <c r="D19" s="474"/>
      <c r="E19" s="505" t="s">
        <v>451</v>
      </c>
      <c r="F19" s="431">
        <f t="shared" ref="F19:G19" si="0">SUM(F4:F18)</f>
        <v>240</v>
      </c>
      <c r="G19" s="431">
        <f t="shared" si="0"/>
        <v>1216</v>
      </c>
      <c r="H19" s="54" t="s">
        <v>116</v>
      </c>
      <c r="I19" s="464">
        <f t="shared" ref="I19" si="1">SUM(I4:I18)</f>
        <v>66</v>
      </c>
      <c r="J19" s="464">
        <f t="shared" ref="J19:AJ19" si="2">SUM(J4:J18)</f>
        <v>44</v>
      </c>
      <c r="K19" s="464">
        <f t="shared" si="2"/>
        <v>28</v>
      </c>
      <c r="L19" s="464">
        <f t="shared" si="2"/>
        <v>28</v>
      </c>
      <c r="M19" s="464">
        <f t="shared" si="2"/>
        <v>25</v>
      </c>
      <c r="N19" s="464">
        <f t="shared" si="2"/>
        <v>15</v>
      </c>
      <c r="O19" s="95">
        <f t="shared" si="2"/>
        <v>10</v>
      </c>
      <c r="P19" s="96">
        <f t="shared" si="2"/>
        <v>3</v>
      </c>
      <c r="Q19" s="464">
        <f t="shared" si="2"/>
        <v>7</v>
      </c>
      <c r="R19" s="464">
        <f t="shared" si="2"/>
        <v>7</v>
      </c>
      <c r="S19" s="464">
        <f t="shared" si="2"/>
        <v>4</v>
      </c>
      <c r="T19" s="431">
        <f t="shared" si="2"/>
        <v>3</v>
      </c>
      <c r="U19" s="54" t="s">
        <v>116</v>
      </c>
      <c r="V19" s="60">
        <f t="shared" ref="V19" si="3">SUM(V4:V18)</f>
        <v>148</v>
      </c>
      <c r="W19" s="107">
        <f t="shared" ref="W19" si="4">SUM(W4:W18)</f>
        <v>126</v>
      </c>
      <c r="X19" s="60">
        <f t="shared" si="2"/>
        <v>1</v>
      </c>
      <c r="Y19" s="58">
        <f t="shared" si="2"/>
        <v>248</v>
      </c>
      <c r="Z19" s="106">
        <f t="shared" si="2"/>
        <v>10</v>
      </c>
      <c r="AA19" s="61">
        <f t="shared" si="2"/>
        <v>107</v>
      </c>
      <c r="AB19" s="63">
        <f t="shared" si="2"/>
        <v>78</v>
      </c>
      <c r="AC19" s="60">
        <f t="shared" ref="AC19" si="5">SUM(AC4:AC18)</f>
        <v>123</v>
      </c>
      <c r="AD19" s="107">
        <f t="shared" si="2"/>
        <v>14</v>
      </c>
      <c r="AE19" s="63">
        <f t="shared" si="2"/>
        <v>9</v>
      </c>
      <c r="AF19" s="431">
        <f>SUM(AF4:AF18)</f>
        <v>138</v>
      </c>
      <c r="AG19" s="61">
        <f t="shared" ref="AG19" si="6">SUM(AG4:AG18)</f>
        <v>41</v>
      </c>
      <c r="AH19" s="107">
        <f t="shared" si="2"/>
        <v>39</v>
      </c>
      <c r="AI19" s="108">
        <f t="shared" si="2"/>
        <v>4</v>
      </c>
      <c r="AJ19" s="63">
        <f t="shared" si="2"/>
        <v>19</v>
      </c>
      <c r="AK19" s="431">
        <f>SUM(AK4:AK18)</f>
        <v>64</v>
      </c>
      <c r="AL19" s="62">
        <f t="shared" ref="AL19:AM19" si="7">SUM(AL4:AL18)</f>
        <v>34</v>
      </c>
      <c r="AM19" s="60">
        <f t="shared" si="7"/>
        <v>13</v>
      </c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</row>
    <row r="20" spans="1:75" ht="43.2" customHeight="1" thickTop="1" thickBot="1" x14ac:dyDescent="0.35">
      <c r="A20" s="470" t="s">
        <v>294</v>
      </c>
      <c r="B20" s="470"/>
      <c r="C20" s="470"/>
      <c r="D20" s="471"/>
      <c r="E20" s="506"/>
      <c r="F20" s="432"/>
      <c r="G20" s="432"/>
      <c r="H20" s="52" t="s">
        <v>115</v>
      </c>
      <c r="I20" s="433"/>
      <c r="J20" s="433"/>
      <c r="K20" s="433"/>
      <c r="L20" s="433"/>
      <c r="M20" s="433"/>
      <c r="N20" s="433"/>
      <c r="O20" s="426">
        <v>13</v>
      </c>
      <c r="P20" s="427"/>
      <c r="Q20" s="433"/>
      <c r="R20" s="433"/>
      <c r="S20" s="433"/>
      <c r="T20" s="432"/>
      <c r="U20" s="52" t="s">
        <v>115</v>
      </c>
      <c r="V20" s="573">
        <v>275</v>
      </c>
      <c r="W20" s="427"/>
      <c r="X20" s="435"/>
      <c r="Y20" s="426">
        <v>258</v>
      </c>
      <c r="Z20" s="435"/>
      <c r="AA20" s="426">
        <v>185</v>
      </c>
      <c r="AB20" s="435"/>
      <c r="AC20" s="426">
        <v>146</v>
      </c>
      <c r="AD20" s="427"/>
      <c r="AE20" s="435"/>
      <c r="AF20" s="432"/>
      <c r="AG20" s="426">
        <v>103</v>
      </c>
      <c r="AH20" s="427"/>
      <c r="AI20" s="427"/>
      <c r="AJ20" s="435"/>
      <c r="AK20" s="432"/>
      <c r="AL20" s="426">
        <v>47</v>
      </c>
      <c r="AM20" s="427"/>
    </row>
    <row r="21" spans="1:75" ht="14.4" customHeight="1" thickTop="1" x14ac:dyDescent="0.3">
      <c r="H21" s="77"/>
      <c r="U21" s="77"/>
    </row>
    <row r="22" spans="1:75" ht="14.4" customHeight="1" x14ac:dyDescent="0.3"/>
    <row r="23" spans="1:75" ht="14.4" customHeight="1" x14ac:dyDescent="0.3"/>
  </sheetData>
  <mergeCells count="55">
    <mergeCell ref="E1:G1"/>
    <mergeCell ref="E2:E3"/>
    <mergeCell ref="S19:S20"/>
    <mergeCell ref="S2:S3"/>
    <mergeCell ref="O20:P20"/>
    <mergeCell ref="F2:F3"/>
    <mergeCell ref="G2:G3"/>
    <mergeCell ref="F19:F20"/>
    <mergeCell ref="G19:G20"/>
    <mergeCell ref="H1:H3"/>
    <mergeCell ref="E19:E20"/>
    <mergeCell ref="U1:U3"/>
    <mergeCell ref="I1:T1"/>
    <mergeCell ref="I2:I3"/>
    <mergeCell ref="J2:J3"/>
    <mergeCell ref="Q2:Q3"/>
    <mergeCell ref="K2:K3"/>
    <mergeCell ref="T19:T20"/>
    <mergeCell ref="R19:R20"/>
    <mergeCell ref="T2:T3"/>
    <mergeCell ref="L2:L3"/>
    <mergeCell ref="M2:M3"/>
    <mergeCell ref="N2:N3"/>
    <mergeCell ref="R2:R3"/>
    <mergeCell ref="N19:N20"/>
    <mergeCell ref="AK19:AK20"/>
    <mergeCell ref="AL2:AM2"/>
    <mergeCell ref="AC2:AE2"/>
    <mergeCell ref="AC20:AE20"/>
    <mergeCell ref="AG2:AJ2"/>
    <mergeCell ref="AG20:AJ20"/>
    <mergeCell ref="AF2:AF3"/>
    <mergeCell ref="AK2:AK3"/>
    <mergeCell ref="V20:X20"/>
    <mergeCell ref="AA20:AB20"/>
    <mergeCell ref="AA2:AB2"/>
    <mergeCell ref="AF19:AF20"/>
    <mergeCell ref="Y2:Z2"/>
    <mergeCell ref="Y20:Z20"/>
    <mergeCell ref="V1:AM1"/>
    <mergeCell ref="A19:D19"/>
    <mergeCell ref="A20:D20"/>
    <mergeCell ref="Q19:Q20"/>
    <mergeCell ref="I19:I20"/>
    <mergeCell ref="J19:J20"/>
    <mergeCell ref="K19:K20"/>
    <mergeCell ref="L19:L20"/>
    <mergeCell ref="M19:M20"/>
    <mergeCell ref="A2:A3"/>
    <mergeCell ref="B2:B3"/>
    <mergeCell ref="C2:C3"/>
    <mergeCell ref="O2:P2"/>
    <mergeCell ref="D2:D3"/>
    <mergeCell ref="AL20:AM20"/>
    <mergeCell ref="V2:X2"/>
  </mergeCells>
  <conditionalFormatting sqref="A4:A10 A12:A13 A15:A18">
    <cfRule type="colorScale" priority="4">
      <colorScale>
        <cfvo type="min"/>
        <cfvo type="max"/>
        <color rgb="FF63BE7B"/>
        <color rgb="FFFCFCFF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{FCC0CC07-0E61-40F2-B28B-87045D3E5BF3}</x14:id>
        </ext>
      </extLst>
    </cfRule>
  </conditionalFormatting>
  <hyperlinks>
    <hyperlink ref="D18" r:id="rId1" display="https://archive.org/details/throughspainreco00dickrich/page/n13/mode/2up" xr:uid="{E87D3DC5-5F39-4F01-A253-35189236AB03}"/>
    <hyperlink ref="D17" r:id="rId2" display="https://www.gutenberg.org/ebooks/7430" xr:uid="{502C088B-C083-4145-9051-100581C7AA67}"/>
    <hyperlink ref="D16" r:id="rId3" display="https://www.gutenberg.org/ebooks/40201" xr:uid="{A31FC65A-1876-4FE7-866C-9894E2060481}"/>
    <hyperlink ref="D10" r:id="rId4" display="https://archive.org/details/sunshadowinspain00elliuoft" xr:uid="{4FDDFF1E-546D-400B-8B57-EAF6750D44D7}"/>
    <hyperlink ref="D8" r:id="rId5" display="https://www.gutenberg.org/ebooks/27252" xr:uid="{4FE6FECE-DBAB-48F2-A85A-C8F97F2CFC7B}"/>
    <hyperlink ref="D7" r:id="rId6" display="https://archive.org/details/atrampinspain00unkngoog/page/n8/mode/2up" xr:uid="{AF296327-9F1A-46DA-8D59-33270FB5DD63}"/>
    <hyperlink ref="D6" r:id="rId7" display="https://www.gutenberg.org/ebooks/59944" xr:uid="{4698E4C1-3854-48B0-88C3-67BF856FB4AA}"/>
    <hyperlink ref="D4" r:id="rId8" display="https://www.gutenberg.org/ebooks/38767" xr:uid="{CB148316-402D-45E9-8713-BBD1F05D9939}"/>
    <hyperlink ref="D9" r:id="rId9" display="https://www.gutenberg.org/ebooks/37944" xr:uid="{7D6BC7BC-D0FF-4E88-AE89-0D9FF84B8D5E}"/>
    <hyperlink ref="D13" r:id="rId10" display="https://www.gutenberg.org/ebooks/41593" xr:uid="{A49AC112-FB54-44BD-8485-39F15D606713}"/>
    <hyperlink ref="D12" r:id="rId11" display="https://www.gutenberg.org/ebooks/40356" xr:uid="{57F88530-7CF8-4EFB-A1C3-2F49B40699BB}"/>
    <hyperlink ref="D5" r:id="rId12" display="https://archive.org/details/landofdons00will/page/n19/mode/2up" xr:uid="{8BA3D23E-386D-4914-9F12-B3D64C5EA7C7}"/>
    <hyperlink ref="D15" r:id="rId13" display="https://www.gutenberg.org/ebooks/40357" xr:uid="{11BEE9B2-6654-42A9-A6FE-F8D1DC87744A}"/>
    <hyperlink ref="D11" r:id="rId14" display="https://archive.org/details/spainoftodaynarr00shaw/page/n11/mode/2up" xr:uid="{1B17DF92-F887-4BE7-8D4A-A83B0D228C50}"/>
    <hyperlink ref="D14" r:id="rId15" display="https://www.gutenberg.org/ebooks/author/39917" xr:uid="{76689D05-A1D1-4898-A1A6-5B489E20A171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0CC07-0E61-40F2-B28B-87045D3E5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A12:A13 A15:A18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84BF-AA89-4CF8-9C41-807D32C47CF9}">
  <sheetPr>
    <tabColor rgb="FF00B0F0"/>
  </sheetPr>
  <dimension ref="A1:AG21"/>
  <sheetViews>
    <sheetView topLeftCell="C1" zoomScale="50" zoomScaleNormal="50" workbookViewId="0">
      <selection activeCell="G17" sqref="G17"/>
    </sheetView>
  </sheetViews>
  <sheetFormatPr baseColWidth="10" defaultRowHeight="14.4" x14ac:dyDescent="0.3"/>
  <cols>
    <col min="1" max="1" width="83.77734375" customWidth="1"/>
    <col min="2" max="2" width="51.88671875" customWidth="1"/>
    <col min="4" max="4" width="34.44140625" customWidth="1"/>
    <col min="5" max="5" width="36.6640625" customWidth="1"/>
    <col min="6" max="6" width="21.33203125" customWidth="1"/>
    <col min="7" max="7" width="19.77734375" customWidth="1"/>
    <col min="8" max="8" width="37.33203125" customWidth="1"/>
    <col min="17" max="17" width="18.44140625" customWidth="1"/>
    <col min="20" max="20" width="44.21875" customWidth="1"/>
    <col min="29" max="30" width="11.109375" customWidth="1"/>
    <col min="31" max="31" width="12" customWidth="1"/>
  </cols>
  <sheetData>
    <row r="1" spans="1:33" ht="51.6" customHeight="1" thickTop="1" thickBot="1" x14ac:dyDescent="0.35">
      <c r="A1" s="592" t="s">
        <v>0</v>
      </c>
      <c r="B1" s="593"/>
      <c r="C1" s="593"/>
      <c r="D1" s="593"/>
      <c r="E1" s="583" t="s">
        <v>352</v>
      </c>
      <c r="F1" s="584"/>
      <c r="G1" s="585"/>
      <c r="H1" s="441" t="s">
        <v>192</v>
      </c>
      <c r="I1" s="452" t="s">
        <v>305</v>
      </c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41" t="s">
        <v>192</v>
      </c>
      <c r="U1" s="452" t="s">
        <v>306</v>
      </c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594"/>
    </row>
    <row r="2" spans="1:33" ht="37.799999999999997" customHeight="1" thickTop="1" x14ac:dyDescent="0.3">
      <c r="A2" s="567" t="s">
        <v>1</v>
      </c>
      <c r="B2" s="569" t="s">
        <v>2</v>
      </c>
      <c r="C2" s="569" t="s">
        <v>3</v>
      </c>
      <c r="D2" s="571" t="s">
        <v>4</v>
      </c>
      <c r="E2" s="478" t="s">
        <v>360</v>
      </c>
      <c r="F2" s="547" t="s">
        <v>353</v>
      </c>
      <c r="G2" s="547" t="s">
        <v>306</v>
      </c>
      <c r="H2" s="442"/>
      <c r="I2" s="436" t="s">
        <v>234</v>
      </c>
      <c r="J2" s="437"/>
      <c r="K2" s="436" t="s">
        <v>235</v>
      </c>
      <c r="L2" s="437"/>
      <c r="M2" s="436" t="s">
        <v>236</v>
      </c>
      <c r="N2" s="437"/>
      <c r="O2" s="437"/>
      <c r="P2" s="437"/>
      <c r="Q2" s="444" t="s">
        <v>354</v>
      </c>
      <c r="R2" s="436" t="s">
        <v>237</v>
      </c>
      <c r="S2" s="437"/>
      <c r="T2" s="586"/>
      <c r="U2" s="436" t="s">
        <v>302</v>
      </c>
      <c r="V2" s="437"/>
      <c r="W2" s="437"/>
      <c r="X2" s="438"/>
      <c r="Y2" s="436" t="s">
        <v>238</v>
      </c>
      <c r="Z2" s="437"/>
      <c r="AA2" s="436" t="s">
        <v>239</v>
      </c>
      <c r="AB2" s="438"/>
      <c r="AC2" s="436" t="s">
        <v>357</v>
      </c>
      <c r="AD2" s="437"/>
      <c r="AE2" s="438"/>
      <c r="AF2" s="436" t="s">
        <v>240</v>
      </c>
      <c r="AG2" s="438"/>
    </row>
    <row r="3" spans="1:33" ht="39" customHeight="1" thickBot="1" x14ac:dyDescent="0.35">
      <c r="A3" s="568"/>
      <c r="B3" s="570"/>
      <c r="C3" s="570"/>
      <c r="D3" s="572"/>
      <c r="E3" s="445"/>
      <c r="F3" s="480"/>
      <c r="G3" s="480"/>
      <c r="H3" s="443"/>
      <c r="I3" s="82" t="s">
        <v>139</v>
      </c>
      <c r="J3" s="83" t="s">
        <v>159</v>
      </c>
      <c r="K3" s="82" t="s">
        <v>142</v>
      </c>
      <c r="L3" s="86" t="s">
        <v>155</v>
      </c>
      <c r="M3" s="82" t="s">
        <v>173</v>
      </c>
      <c r="N3" s="86" t="s">
        <v>174</v>
      </c>
      <c r="O3" s="86" t="s">
        <v>176</v>
      </c>
      <c r="P3" s="86" t="s">
        <v>179</v>
      </c>
      <c r="Q3" s="445"/>
      <c r="R3" s="82" t="s">
        <v>167</v>
      </c>
      <c r="S3" s="87" t="s">
        <v>183</v>
      </c>
      <c r="T3" s="587"/>
      <c r="U3" s="31" t="s">
        <v>308</v>
      </c>
      <c r="V3" s="18" t="s">
        <v>307</v>
      </c>
      <c r="W3" s="18" t="s">
        <v>303</v>
      </c>
      <c r="X3" s="32" t="s">
        <v>304</v>
      </c>
      <c r="Y3" s="82" t="s">
        <v>144</v>
      </c>
      <c r="Z3" s="86" t="s">
        <v>145</v>
      </c>
      <c r="AA3" s="82" t="s">
        <v>146</v>
      </c>
      <c r="AB3" s="87" t="s">
        <v>170</v>
      </c>
      <c r="AC3" s="218" t="s">
        <v>356</v>
      </c>
      <c r="AD3" s="418" t="s">
        <v>355</v>
      </c>
      <c r="AE3" s="32" t="s">
        <v>457</v>
      </c>
      <c r="AF3" s="85" t="s">
        <v>169</v>
      </c>
      <c r="AG3" s="18" t="s">
        <v>168</v>
      </c>
    </row>
    <row r="4" spans="1:33" ht="40.200000000000003" customHeight="1" thickTop="1" x14ac:dyDescent="0.5">
      <c r="A4" s="9" t="s">
        <v>5</v>
      </c>
      <c r="B4" s="10" t="s">
        <v>6</v>
      </c>
      <c r="C4" s="11">
        <v>1900</v>
      </c>
      <c r="D4" s="12" t="s">
        <v>7</v>
      </c>
      <c r="E4" s="244" t="s">
        <v>456</v>
      </c>
      <c r="F4" s="251">
        <v>42</v>
      </c>
      <c r="G4" s="137">
        <v>72</v>
      </c>
      <c r="H4" s="97" t="s">
        <v>201</v>
      </c>
      <c r="I4" s="402">
        <v>22</v>
      </c>
      <c r="J4" s="153">
        <v>2</v>
      </c>
      <c r="K4" s="407">
        <v>11</v>
      </c>
      <c r="L4" s="405">
        <v>4</v>
      </c>
      <c r="M4" s="152">
        <v>1</v>
      </c>
      <c r="N4" s="154"/>
      <c r="O4" s="154"/>
      <c r="P4" s="154"/>
      <c r="Q4" s="155">
        <v>1</v>
      </c>
      <c r="R4" s="152">
        <v>1</v>
      </c>
      <c r="S4" s="156"/>
      <c r="T4" s="97" t="s">
        <v>201</v>
      </c>
      <c r="U4" s="142">
        <v>32</v>
      </c>
      <c r="V4" s="411">
        <v>8</v>
      </c>
      <c r="W4" s="147">
        <v>3</v>
      </c>
      <c r="X4" s="125">
        <v>2</v>
      </c>
      <c r="Y4" s="152">
        <v>3</v>
      </c>
      <c r="Z4" s="405">
        <v>9</v>
      </c>
      <c r="AA4" s="152">
        <v>2</v>
      </c>
      <c r="AB4" s="156">
        <v>1</v>
      </c>
      <c r="AC4" s="155">
        <v>8</v>
      </c>
      <c r="AD4" s="154">
        <v>3</v>
      </c>
      <c r="AE4" s="245"/>
      <c r="AF4" s="155">
        <v>1</v>
      </c>
      <c r="AG4" s="154"/>
    </row>
    <row r="5" spans="1:33" ht="38.4" customHeight="1" x14ac:dyDescent="0.5">
      <c r="A5" s="13" t="s">
        <v>8</v>
      </c>
      <c r="B5" s="3" t="s">
        <v>9</v>
      </c>
      <c r="C5" s="2">
        <v>1902</v>
      </c>
      <c r="D5" s="5" t="s">
        <v>10</v>
      </c>
      <c r="E5" s="248" t="s">
        <v>367</v>
      </c>
      <c r="F5" s="248">
        <v>4</v>
      </c>
      <c r="G5" s="140">
        <v>33</v>
      </c>
      <c r="H5" s="98" t="s">
        <v>187</v>
      </c>
      <c r="I5" s="157">
        <v>1</v>
      </c>
      <c r="J5" s="158"/>
      <c r="K5" s="157">
        <v>1</v>
      </c>
      <c r="L5" s="159">
        <v>1</v>
      </c>
      <c r="M5" s="157">
        <v>1</v>
      </c>
      <c r="N5" s="159"/>
      <c r="O5" s="159"/>
      <c r="P5" s="159"/>
      <c r="Q5" s="160"/>
      <c r="R5" s="157"/>
      <c r="S5" s="161"/>
      <c r="T5" s="98" t="s">
        <v>187</v>
      </c>
      <c r="U5" s="143">
        <v>13</v>
      </c>
      <c r="V5" s="148">
        <v>5</v>
      </c>
      <c r="W5" s="148">
        <v>2</v>
      </c>
      <c r="X5" s="127">
        <v>1</v>
      </c>
      <c r="Y5" s="157">
        <v>4</v>
      </c>
      <c r="Z5" s="159">
        <v>5</v>
      </c>
      <c r="AA5" s="157">
        <v>1</v>
      </c>
      <c r="AB5" s="161"/>
      <c r="AC5" s="160"/>
      <c r="AD5" s="159">
        <v>1</v>
      </c>
      <c r="AE5" s="181"/>
      <c r="AF5" s="160">
        <v>1</v>
      </c>
      <c r="AG5" s="159"/>
    </row>
    <row r="6" spans="1:33" ht="34.799999999999997" customHeight="1" x14ac:dyDescent="0.5">
      <c r="A6" s="13" t="s">
        <v>11</v>
      </c>
      <c r="B6" s="3" t="s">
        <v>12</v>
      </c>
      <c r="C6" s="2">
        <v>1903</v>
      </c>
      <c r="D6" s="4" t="s">
        <v>7</v>
      </c>
      <c r="E6" s="248" t="s">
        <v>370</v>
      </c>
      <c r="F6" s="248">
        <v>37</v>
      </c>
      <c r="G6" s="140">
        <v>20</v>
      </c>
      <c r="H6" s="98" t="s">
        <v>185</v>
      </c>
      <c r="I6" s="157">
        <v>10</v>
      </c>
      <c r="J6" s="158">
        <v>3</v>
      </c>
      <c r="K6" s="157">
        <v>4</v>
      </c>
      <c r="L6" s="159"/>
      <c r="M6" s="271">
        <v>13</v>
      </c>
      <c r="N6" s="159">
        <v>3</v>
      </c>
      <c r="O6" s="159">
        <v>2</v>
      </c>
      <c r="P6" s="159">
        <v>1</v>
      </c>
      <c r="Q6" s="160"/>
      <c r="R6" s="157">
        <v>1</v>
      </c>
      <c r="S6" s="161"/>
      <c r="T6" s="98" t="s">
        <v>185</v>
      </c>
      <c r="U6" s="143">
        <v>9</v>
      </c>
      <c r="V6" s="148"/>
      <c r="W6" s="148">
        <v>1</v>
      </c>
      <c r="X6" s="127"/>
      <c r="Y6" s="157">
        <v>1</v>
      </c>
      <c r="Z6" s="159">
        <v>3</v>
      </c>
      <c r="AA6" s="157">
        <v>1</v>
      </c>
      <c r="AB6" s="161">
        <v>3</v>
      </c>
      <c r="AC6" s="160">
        <v>1</v>
      </c>
      <c r="AD6" s="159">
        <v>1</v>
      </c>
      <c r="AE6" s="181"/>
      <c r="AF6" s="160"/>
      <c r="AG6" s="159"/>
    </row>
    <row r="7" spans="1:33" ht="30.6" customHeight="1" x14ac:dyDescent="0.5">
      <c r="A7" s="13" t="s">
        <v>13</v>
      </c>
      <c r="B7" s="3" t="s">
        <v>14</v>
      </c>
      <c r="C7" s="2">
        <v>1904</v>
      </c>
      <c r="D7" s="4" t="s">
        <v>15</v>
      </c>
      <c r="E7" s="298" t="s">
        <v>375</v>
      </c>
      <c r="F7" s="248">
        <v>38</v>
      </c>
      <c r="G7" s="298">
        <v>149</v>
      </c>
      <c r="H7" s="98" t="s">
        <v>200</v>
      </c>
      <c r="I7" s="259">
        <v>22</v>
      </c>
      <c r="J7" s="403">
        <v>5</v>
      </c>
      <c r="K7" s="157">
        <v>4</v>
      </c>
      <c r="L7" s="159"/>
      <c r="M7" s="157"/>
      <c r="N7" s="159"/>
      <c r="O7" s="279">
        <v>7</v>
      </c>
      <c r="P7" s="159"/>
      <c r="Q7" s="160"/>
      <c r="R7" s="157"/>
      <c r="S7" s="161"/>
      <c r="T7" s="98" t="s">
        <v>200</v>
      </c>
      <c r="U7" s="412">
        <v>102</v>
      </c>
      <c r="V7" s="255">
        <v>8</v>
      </c>
      <c r="W7" s="148">
        <v>3</v>
      </c>
      <c r="X7" s="414">
        <v>3</v>
      </c>
      <c r="Y7" s="157">
        <v>5</v>
      </c>
      <c r="Z7" s="159">
        <v>3</v>
      </c>
      <c r="AA7" s="271">
        <v>16</v>
      </c>
      <c r="AB7" s="299">
        <v>9</v>
      </c>
      <c r="AC7" s="160"/>
      <c r="AD7" s="159"/>
      <c r="AE7" s="181"/>
      <c r="AF7" s="160"/>
      <c r="AG7" s="159"/>
    </row>
    <row r="8" spans="1:33" ht="31.8" thickBot="1" x14ac:dyDescent="0.55000000000000004">
      <c r="A8" s="14" t="s">
        <v>16</v>
      </c>
      <c r="B8" s="15" t="s">
        <v>17</v>
      </c>
      <c r="C8" s="16">
        <v>1905</v>
      </c>
      <c r="D8" s="17" t="s">
        <v>7</v>
      </c>
      <c r="E8" s="250" t="s">
        <v>379</v>
      </c>
      <c r="F8" s="247">
        <v>30</v>
      </c>
      <c r="G8" s="250">
        <v>140</v>
      </c>
      <c r="H8" s="99" t="s">
        <v>190</v>
      </c>
      <c r="I8" s="162">
        <v>8</v>
      </c>
      <c r="J8" s="163">
        <v>3</v>
      </c>
      <c r="K8" s="162">
        <v>6</v>
      </c>
      <c r="L8" s="44">
        <v>2</v>
      </c>
      <c r="M8" s="162">
        <v>4</v>
      </c>
      <c r="N8" s="44"/>
      <c r="O8" s="44"/>
      <c r="P8" s="44"/>
      <c r="Q8" s="409">
        <v>7</v>
      </c>
      <c r="R8" s="162"/>
      <c r="S8" s="42"/>
      <c r="T8" s="99" t="s">
        <v>190</v>
      </c>
      <c r="U8" s="410">
        <v>60</v>
      </c>
      <c r="V8" s="284">
        <v>8</v>
      </c>
      <c r="W8" s="149">
        <v>3</v>
      </c>
      <c r="X8" s="128"/>
      <c r="Y8" s="277">
        <v>27</v>
      </c>
      <c r="Z8" s="44">
        <v>6</v>
      </c>
      <c r="AA8" s="162">
        <v>5</v>
      </c>
      <c r="AB8" s="42">
        <v>8</v>
      </c>
      <c r="AC8" s="41">
        <v>6</v>
      </c>
      <c r="AD8" s="262">
        <v>8</v>
      </c>
      <c r="AE8" s="45"/>
      <c r="AF8" s="409">
        <v>8</v>
      </c>
      <c r="AG8" s="44">
        <v>1</v>
      </c>
    </row>
    <row r="9" spans="1:33" ht="36.6" customHeight="1" thickTop="1" x14ac:dyDescent="0.5">
      <c r="A9" s="6" t="s">
        <v>11</v>
      </c>
      <c r="B9" s="7" t="s">
        <v>18</v>
      </c>
      <c r="C9" s="6">
        <v>1908</v>
      </c>
      <c r="D9" s="8" t="s">
        <v>7</v>
      </c>
      <c r="E9" s="248" t="s">
        <v>367</v>
      </c>
      <c r="F9" s="248">
        <v>14</v>
      </c>
      <c r="G9" s="140">
        <v>23</v>
      </c>
      <c r="H9" s="97" t="s">
        <v>191</v>
      </c>
      <c r="I9" s="164">
        <v>4</v>
      </c>
      <c r="J9" s="165">
        <v>1</v>
      </c>
      <c r="K9" s="164">
        <v>2</v>
      </c>
      <c r="L9" s="166"/>
      <c r="M9" s="164">
        <v>5</v>
      </c>
      <c r="N9" s="166"/>
      <c r="O9" s="166"/>
      <c r="P9" s="166"/>
      <c r="Q9" s="167"/>
      <c r="R9" s="273">
        <v>2</v>
      </c>
      <c r="S9" s="168"/>
      <c r="T9" s="97" t="s">
        <v>191</v>
      </c>
      <c r="U9" s="144">
        <v>8</v>
      </c>
      <c r="V9" s="150">
        <v>2</v>
      </c>
      <c r="W9" s="150">
        <v>3</v>
      </c>
      <c r="X9" s="130">
        <v>1</v>
      </c>
      <c r="Y9" s="164">
        <v>4</v>
      </c>
      <c r="Z9" s="166">
        <v>3</v>
      </c>
      <c r="AA9" s="164"/>
      <c r="AB9" s="168">
        <v>1</v>
      </c>
      <c r="AC9" s="167"/>
      <c r="AD9" s="166">
        <v>1</v>
      </c>
      <c r="AE9" s="178"/>
      <c r="AF9" s="167"/>
      <c r="AG9" s="166"/>
    </row>
    <row r="10" spans="1:33" ht="27.6" customHeight="1" x14ac:dyDescent="0.5">
      <c r="A10" s="2" t="s">
        <v>19</v>
      </c>
      <c r="B10" s="3" t="s">
        <v>20</v>
      </c>
      <c r="C10" s="2">
        <v>1908</v>
      </c>
      <c r="D10" s="4" t="s">
        <v>15</v>
      </c>
      <c r="E10" s="248" t="s">
        <v>386</v>
      </c>
      <c r="F10" s="248">
        <v>23</v>
      </c>
      <c r="G10" s="248">
        <v>69</v>
      </c>
      <c r="H10" s="98"/>
      <c r="I10" s="157">
        <v>7</v>
      </c>
      <c r="J10" s="158">
        <v>2</v>
      </c>
      <c r="K10" s="259">
        <v>8</v>
      </c>
      <c r="L10" s="404">
        <v>4</v>
      </c>
      <c r="M10" s="157"/>
      <c r="N10" s="159">
        <v>1</v>
      </c>
      <c r="O10" s="159"/>
      <c r="P10" s="159">
        <v>1</v>
      </c>
      <c r="Q10" s="160"/>
      <c r="R10" s="157"/>
      <c r="S10" s="161"/>
      <c r="T10" s="98"/>
      <c r="U10" s="143">
        <v>14</v>
      </c>
      <c r="V10" s="255">
        <v>8</v>
      </c>
      <c r="W10" s="148"/>
      <c r="X10" s="127"/>
      <c r="Y10" s="259">
        <v>10</v>
      </c>
      <c r="Z10" s="159">
        <v>7</v>
      </c>
      <c r="AA10" s="259">
        <v>13</v>
      </c>
      <c r="AB10" s="299">
        <v>9</v>
      </c>
      <c r="AC10" s="160">
        <v>2</v>
      </c>
      <c r="AD10" s="159">
        <v>4</v>
      </c>
      <c r="AE10" s="181"/>
      <c r="AF10" s="160">
        <v>1</v>
      </c>
      <c r="AG10" s="159">
        <v>1</v>
      </c>
    </row>
    <row r="11" spans="1:33" ht="31.2" customHeight="1" x14ac:dyDescent="0.5">
      <c r="A11" s="2" t="s">
        <v>23</v>
      </c>
      <c r="B11" s="3" t="s">
        <v>24</v>
      </c>
      <c r="C11" s="2">
        <v>1909</v>
      </c>
      <c r="D11" s="4" t="s">
        <v>15</v>
      </c>
      <c r="E11" s="248" t="s">
        <v>390</v>
      </c>
      <c r="F11" s="248">
        <v>18</v>
      </c>
      <c r="G11" s="248">
        <v>25</v>
      </c>
      <c r="H11" s="98" t="s">
        <v>195</v>
      </c>
      <c r="I11" s="157">
        <v>9</v>
      </c>
      <c r="J11" s="158"/>
      <c r="K11" s="157">
        <v>5</v>
      </c>
      <c r="L11" s="159"/>
      <c r="M11" s="157">
        <v>2</v>
      </c>
      <c r="N11" s="159">
        <v>2</v>
      </c>
      <c r="O11" s="159"/>
      <c r="P11" s="159"/>
      <c r="Q11" s="160"/>
      <c r="R11" s="157"/>
      <c r="S11" s="161"/>
      <c r="T11" s="98" t="s">
        <v>185</v>
      </c>
      <c r="U11" s="143">
        <v>7</v>
      </c>
      <c r="V11" s="148">
        <v>6</v>
      </c>
      <c r="W11" s="291">
        <v>5</v>
      </c>
      <c r="X11" s="127"/>
      <c r="Y11" s="157"/>
      <c r="Z11" s="159">
        <v>3</v>
      </c>
      <c r="AA11" s="157">
        <v>1</v>
      </c>
      <c r="AB11" s="161"/>
      <c r="AC11" s="160"/>
      <c r="AD11" s="159">
        <v>1</v>
      </c>
      <c r="AE11" s="181"/>
      <c r="AF11" s="160">
        <v>1</v>
      </c>
      <c r="AG11" s="159">
        <v>1</v>
      </c>
    </row>
    <row r="12" spans="1:33" ht="25.8" x14ac:dyDescent="0.5">
      <c r="A12" s="2" t="s">
        <v>21</v>
      </c>
      <c r="B12" s="3" t="s">
        <v>22</v>
      </c>
      <c r="C12" s="2">
        <v>1909</v>
      </c>
      <c r="D12" s="4" t="s">
        <v>7</v>
      </c>
      <c r="E12" s="248" t="s">
        <v>395</v>
      </c>
      <c r="F12" s="248">
        <v>3</v>
      </c>
      <c r="G12" s="248">
        <v>9</v>
      </c>
      <c r="H12" s="98" t="s">
        <v>190</v>
      </c>
      <c r="I12" s="157"/>
      <c r="J12" s="158"/>
      <c r="K12" s="157">
        <v>2</v>
      </c>
      <c r="L12" s="159">
        <v>1</v>
      </c>
      <c r="M12" s="157"/>
      <c r="N12" s="159"/>
      <c r="O12" s="159"/>
      <c r="P12" s="159"/>
      <c r="Q12" s="160"/>
      <c r="R12" s="157"/>
      <c r="S12" s="161"/>
      <c r="T12" s="98" t="s">
        <v>193</v>
      </c>
      <c r="U12" s="143">
        <v>2</v>
      </c>
      <c r="V12" s="148"/>
      <c r="W12" s="148"/>
      <c r="X12" s="127"/>
      <c r="Y12" s="157">
        <v>1</v>
      </c>
      <c r="Z12" s="159">
        <v>2</v>
      </c>
      <c r="AA12" s="157">
        <v>1</v>
      </c>
      <c r="AB12" s="161"/>
      <c r="AC12" s="160">
        <v>2</v>
      </c>
      <c r="AD12" s="159">
        <v>1</v>
      </c>
      <c r="AE12" s="181"/>
      <c r="AF12" s="160"/>
      <c r="AG12" s="159"/>
    </row>
    <row r="13" spans="1:33" ht="27" customHeight="1" x14ac:dyDescent="0.5">
      <c r="A13" s="2" t="s">
        <v>25</v>
      </c>
      <c r="B13" s="3" t="s">
        <v>26</v>
      </c>
      <c r="C13" s="2">
        <v>1910</v>
      </c>
      <c r="D13" s="4" t="s">
        <v>7</v>
      </c>
      <c r="E13" s="248" t="s">
        <v>400</v>
      </c>
      <c r="F13" s="248">
        <v>8</v>
      </c>
      <c r="G13" s="249">
        <v>133</v>
      </c>
      <c r="H13" s="98" t="s">
        <v>202</v>
      </c>
      <c r="I13" s="157">
        <v>1</v>
      </c>
      <c r="J13" s="158"/>
      <c r="K13" s="157">
        <v>3</v>
      </c>
      <c r="L13" s="159"/>
      <c r="M13" s="157">
        <v>2</v>
      </c>
      <c r="N13" s="159"/>
      <c r="O13" s="159">
        <v>1</v>
      </c>
      <c r="P13" s="159"/>
      <c r="Q13" s="160"/>
      <c r="R13" s="157">
        <v>1</v>
      </c>
      <c r="S13" s="161"/>
      <c r="T13" s="98" t="s">
        <v>187</v>
      </c>
      <c r="U13" s="355">
        <v>48</v>
      </c>
      <c r="V13" s="291">
        <v>21</v>
      </c>
      <c r="W13" s="148">
        <v>1</v>
      </c>
      <c r="X13" s="414">
        <v>3</v>
      </c>
      <c r="Y13" s="259">
        <v>11</v>
      </c>
      <c r="Z13" s="279">
        <v>14</v>
      </c>
      <c r="AA13" s="259">
        <v>11</v>
      </c>
      <c r="AB13" s="161">
        <v>7</v>
      </c>
      <c r="AC13" s="160">
        <v>2</v>
      </c>
      <c r="AD13" s="404">
        <v>7</v>
      </c>
      <c r="AE13" s="181"/>
      <c r="AF13" s="160">
        <v>3</v>
      </c>
      <c r="AG13" s="279">
        <v>5</v>
      </c>
    </row>
    <row r="14" spans="1:33" ht="28.2" customHeight="1" thickBot="1" x14ac:dyDescent="0.55000000000000004">
      <c r="A14" s="21" t="s">
        <v>27</v>
      </c>
      <c r="B14" s="19" t="s">
        <v>28</v>
      </c>
      <c r="C14" s="18">
        <v>1910</v>
      </c>
      <c r="D14" s="20" t="s">
        <v>29</v>
      </c>
      <c r="E14" s="247" t="s">
        <v>405</v>
      </c>
      <c r="F14" s="247">
        <v>12</v>
      </c>
      <c r="G14" s="247">
        <v>8</v>
      </c>
      <c r="H14" s="99" t="s">
        <v>187</v>
      </c>
      <c r="I14" s="169">
        <v>4</v>
      </c>
      <c r="J14" s="170">
        <v>1</v>
      </c>
      <c r="K14" s="169">
        <v>4</v>
      </c>
      <c r="L14" s="171">
        <v>2</v>
      </c>
      <c r="M14" s="169"/>
      <c r="N14" s="171"/>
      <c r="O14" s="171"/>
      <c r="P14" s="171"/>
      <c r="Q14" s="172"/>
      <c r="R14" s="169">
        <v>1</v>
      </c>
      <c r="S14" s="173"/>
      <c r="T14" s="99" t="s">
        <v>195</v>
      </c>
      <c r="U14" s="145">
        <v>1</v>
      </c>
      <c r="V14" s="151">
        <v>1</v>
      </c>
      <c r="W14" s="151"/>
      <c r="X14" s="132"/>
      <c r="Y14" s="169">
        <v>3</v>
      </c>
      <c r="Z14" s="171">
        <v>2</v>
      </c>
      <c r="AA14" s="169"/>
      <c r="AB14" s="173">
        <v>1</v>
      </c>
      <c r="AC14" s="172"/>
      <c r="AD14" s="171"/>
      <c r="AE14" s="246"/>
      <c r="AF14" s="172"/>
      <c r="AG14" s="171"/>
    </row>
    <row r="15" spans="1:33" ht="37.799999999999997" customHeight="1" thickTop="1" x14ac:dyDescent="0.5">
      <c r="A15" s="9" t="s">
        <v>30</v>
      </c>
      <c r="B15" s="10" t="s">
        <v>31</v>
      </c>
      <c r="C15" s="10">
        <v>1911</v>
      </c>
      <c r="D15" s="22" t="s">
        <v>7</v>
      </c>
      <c r="E15" s="248" t="s">
        <v>410</v>
      </c>
      <c r="F15" s="249">
        <v>44</v>
      </c>
      <c r="G15" s="248">
        <v>46</v>
      </c>
      <c r="H15" s="97" t="s">
        <v>197</v>
      </c>
      <c r="I15" s="402">
        <v>22</v>
      </c>
      <c r="J15" s="153">
        <v>2</v>
      </c>
      <c r="K15" s="152">
        <v>2</v>
      </c>
      <c r="L15" s="154">
        <v>1</v>
      </c>
      <c r="M15" s="402">
        <v>10</v>
      </c>
      <c r="N15" s="408">
        <v>4</v>
      </c>
      <c r="O15" s="154">
        <v>2</v>
      </c>
      <c r="P15" s="154">
        <v>1</v>
      </c>
      <c r="Q15" s="155"/>
      <c r="R15" s="152"/>
      <c r="S15" s="156"/>
      <c r="T15" s="97" t="s">
        <v>185</v>
      </c>
      <c r="U15" s="142">
        <v>13</v>
      </c>
      <c r="V15" s="411">
        <v>8</v>
      </c>
      <c r="W15" s="147">
        <v>3</v>
      </c>
      <c r="X15" s="125">
        <v>2</v>
      </c>
      <c r="Y15" s="152">
        <v>1</v>
      </c>
      <c r="Z15" s="154">
        <v>4</v>
      </c>
      <c r="AA15" s="152"/>
      <c r="AB15" s="156">
        <v>3</v>
      </c>
      <c r="AC15" s="417">
        <v>7</v>
      </c>
      <c r="AD15" s="154">
        <v>3</v>
      </c>
      <c r="AE15" s="416">
        <v>2</v>
      </c>
      <c r="AF15" s="155"/>
      <c r="AG15" s="154"/>
    </row>
    <row r="16" spans="1:33" ht="37.200000000000003" customHeight="1" x14ac:dyDescent="0.5">
      <c r="A16" s="13" t="s">
        <v>32</v>
      </c>
      <c r="B16" s="3" t="s">
        <v>33</v>
      </c>
      <c r="C16" s="2">
        <v>1912</v>
      </c>
      <c r="D16" s="4" t="s">
        <v>7</v>
      </c>
      <c r="E16" s="248" t="s">
        <v>415</v>
      </c>
      <c r="F16" s="248">
        <v>19</v>
      </c>
      <c r="G16" s="248">
        <v>54</v>
      </c>
      <c r="H16" s="98" t="s">
        <v>191</v>
      </c>
      <c r="I16" s="157">
        <v>7</v>
      </c>
      <c r="J16" s="158">
        <v>2</v>
      </c>
      <c r="K16" s="157">
        <v>3</v>
      </c>
      <c r="L16" s="159">
        <v>2</v>
      </c>
      <c r="M16" s="157">
        <v>1</v>
      </c>
      <c r="N16" s="159">
        <v>1</v>
      </c>
      <c r="O16" s="159"/>
      <c r="P16" s="159"/>
      <c r="Q16" s="160">
        <v>1</v>
      </c>
      <c r="R16" s="157">
        <v>1</v>
      </c>
      <c r="S16" s="161">
        <v>1</v>
      </c>
      <c r="T16" s="98" t="s">
        <v>189</v>
      </c>
      <c r="U16" s="143">
        <v>32</v>
      </c>
      <c r="V16" s="148">
        <v>3</v>
      </c>
      <c r="W16" s="148">
        <v>1</v>
      </c>
      <c r="X16" s="127">
        <v>1</v>
      </c>
      <c r="Y16" s="157">
        <v>2</v>
      </c>
      <c r="Z16" s="159">
        <v>3</v>
      </c>
      <c r="AA16" s="157"/>
      <c r="AB16" s="266">
        <v>8</v>
      </c>
      <c r="AC16" s="160">
        <v>2</v>
      </c>
      <c r="AD16" s="159"/>
      <c r="AE16" s="181"/>
      <c r="AF16" s="160">
        <v>1</v>
      </c>
      <c r="AG16" s="159">
        <v>1</v>
      </c>
    </row>
    <row r="17" spans="1:33" ht="31.2" customHeight="1" x14ac:dyDescent="0.5">
      <c r="A17" s="13" t="s">
        <v>34</v>
      </c>
      <c r="B17" s="3" t="s">
        <v>35</v>
      </c>
      <c r="C17" s="2">
        <v>1913</v>
      </c>
      <c r="D17" s="4" t="s">
        <v>7</v>
      </c>
      <c r="E17" s="249" t="s">
        <v>371</v>
      </c>
      <c r="F17" s="298">
        <v>64</v>
      </c>
      <c r="G17" s="248">
        <v>100</v>
      </c>
      <c r="H17" s="98"/>
      <c r="I17" s="271">
        <v>31</v>
      </c>
      <c r="J17" s="406">
        <v>6</v>
      </c>
      <c r="K17" s="259">
        <v>9</v>
      </c>
      <c r="L17" s="279">
        <v>9</v>
      </c>
      <c r="M17" s="259">
        <v>5</v>
      </c>
      <c r="N17" s="159">
        <v>2</v>
      </c>
      <c r="O17" s="159"/>
      <c r="P17" s="159"/>
      <c r="Q17" s="160">
        <v>2</v>
      </c>
      <c r="R17" s="157"/>
      <c r="S17" s="161"/>
      <c r="T17" s="98" t="s">
        <v>190</v>
      </c>
      <c r="U17" s="143">
        <v>24</v>
      </c>
      <c r="V17" s="148">
        <v>9</v>
      </c>
      <c r="W17" s="148"/>
      <c r="X17" s="127"/>
      <c r="Y17" s="157">
        <v>7</v>
      </c>
      <c r="Z17" s="404">
        <v>11</v>
      </c>
      <c r="AA17" s="157">
        <v>9</v>
      </c>
      <c r="AB17" s="266">
        <v>8</v>
      </c>
      <c r="AC17" s="415">
        <v>18</v>
      </c>
      <c r="AD17" s="279">
        <v>12</v>
      </c>
      <c r="AE17" s="181"/>
      <c r="AF17" s="160">
        <v>2</v>
      </c>
      <c r="AG17" s="159"/>
    </row>
    <row r="18" spans="1:33" ht="34.200000000000003" customHeight="1" thickBot="1" x14ac:dyDescent="0.55000000000000004">
      <c r="A18" s="14" t="s">
        <v>36</v>
      </c>
      <c r="B18" s="15" t="s">
        <v>37</v>
      </c>
      <c r="C18" s="16">
        <v>1914</v>
      </c>
      <c r="D18" s="17" t="s">
        <v>15</v>
      </c>
      <c r="E18" s="247" t="s">
        <v>423</v>
      </c>
      <c r="F18" s="247">
        <v>39</v>
      </c>
      <c r="G18" s="247">
        <v>83</v>
      </c>
      <c r="H18" s="100"/>
      <c r="I18" s="260">
        <v>22</v>
      </c>
      <c r="J18" s="163">
        <v>2</v>
      </c>
      <c r="K18" s="162">
        <v>1</v>
      </c>
      <c r="L18" s="44">
        <v>3</v>
      </c>
      <c r="M18" s="162">
        <v>9</v>
      </c>
      <c r="N18" s="44"/>
      <c r="O18" s="44">
        <v>1</v>
      </c>
      <c r="P18" s="44"/>
      <c r="Q18" s="41"/>
      <c r="R18" s="162">
        <v>1</v>
      </c>
      <c r="S18" s="42"/>
      <c r="T18" s="100" t="s">
        <v>191</v>
      </c>
      <c r="U18" s="146">
        <v>43</v>
      </c>
      <c r="V18" s="284">
        <v>11</v>
      </c>
      <c r="W18" s="413">
        <v>5</v>
      </c>
      <c r="X18" s="128"/>
      <c r="Y18" s="162">
        <v>6</v>
      </c>
      <c r="Z18" s="262">
        <v>9</v>
      </c>
      <c r="AA18" s="162">
        <v>4</v>
      </c>
      <c r="AB18" s="42">
        <v>4</v>
      </c>
      <c r="AC18" s="41">
        <v>1</v>
      </c>
      <c r="AD18" s="44"/>
      <c r="AE18" s="45"/>
      <c r="AF18" s="41"/>
      <c r="AG18" s="44"/>
    </row>
    <row r="19" spans="1:33" ht="55.2" customHeight="1" thickTop="1" thickBot="1" x14ac:dyDescent="0.35">
      <c r="A19" s="588"/>
      <c r="B19" s="588"/>
      <c r="C19" s="588"/>
      <c r="D19" s="589"/>
      <c r="E19" s="505" t="s">
        <v>458</v>
      </c>
      <c r="F19" s="431">
        <f t="shared" ref="F19:G19" si="0">SUM(F4:F18)</f>
        <v>395</v>
      </c>
      <c r="G19" s="431">
        <f t="shared" si="0"/>
        <v>964</v>
      </c>
      <c r="H19" s="54" t="s">
        <v>116</v>
      </c>
      <c r="I19" s="58">
        <f t="shared" ref="I19:Q19" si="1">SUM(I4:I18)</f>
        <v>170</v>
      </c>
      <c r="J19" s="56">
        <f t="shared" si="1"/>
        <v>29</v>
      </c>
      <c r="K19" s="58">
        <f t="shared" si="1"/>
        <v>65</v>
      </c>
      <c r="L19" s="56">
        <f t="shared" si="1"/>
        <v>29</v>
      </c>
      <c r="M19" s="58">
        <f t="shared" si="1"/>
        <v>53</v>
      </c>
      <c r="N19" s="56">
        <f t="shared" si="1"/>
        <v>13</v>
      </c>
      <c r="O19" s="56">
        <f t="shared" si="1"/>
        <v>13</v>
      </c>
      <c r="P19" s="56">
        <f t="shared" si="1"/>
        <v>3</v>
      </c>
      <c r="Q19" s="431">
        <f t="shared" si="1"/>
        <v>11</v>
      </c>
      <c r="R19" s="58">
        <f>SUM(R4:R18)</f>
        <v>8</v>
      </c>
      <c r="S19" s="56">
        <f t="shared" ref="S19" si="2">SUM(S4:S18)</f>
        <v>1</v>
      </c>
      <c r="T19" s="54" t="s">
        <v>116</v>
      </c>
      <c r="U19" s="56">
        <f>SUM(U4:U18)</f>
        <v>408</v>
      </c>
      <c r="V19" s="106">
        <f>SUM(V4:V18)</f>
        <v>98</v>
      </c>
      <c r="W19" s="106">
        <f t="shared" ref="W19:AG19" si="3">SUM(W4:W18)</f>
        <v>30</v>
      </c>
      <c r="X19" s="57">
        <f t="shared" si="3"/>
        <v>13</v>
      </c>
      <c r="Y19" s="106">
        <f t="shared" si="3"/>
        <v>85</v>
      </c>
      <c r="Z19" s="56">
        <f t="shared" si="3"/>
        <v>84</v>
      </c>
      <c r="AA19" s="58">
        <f t="shared" si="3"/>
        <v>64</v>
      </c>
      <c r="AB19" s="56">
        <f t="shared" si="3"/>
        <v>62</v>
      </c>
      <c r="AC19" s="58">
        <f>SUM(AC4:AC18)</f>
        <v>49</v>
      </c>
      <c r="AD19" s="419">
        <f>SUM(AD4:AD18)</f>
        <v>42</v>
      </c>
      <c r="AE19" s="57">
        <f t="shared" si="3"/>
        <v>2</v>
      </c>
      <c r="AF19" s="58">
        <f t="shared" si="3"/>
        <v>18</v>
      </c>
      <c r="AG19" s="106">
        <f t="shared" si="3"/>
        <v>9</v>
      </c>
    </row>
    <row r="20" spans="1:33" ht="64.8" customHeight="1" thickTop="1" thickBot="1" x14ac:dyDescent="0.35">
      <c r="A20" s="590"/>
      <c r="B20" s="590"/>
      <c r="C20" s="590"/>
      <c r="D20" s="591"/>
      <c r="E20" s="506"/>
      <c r="F20" s="432"/>
      <c r="G20" s="432"/>
      <c r="H20" s="66" t="s">
        <v>115</v>
      </c>
      <c r="I20" s="426">
        <v>199</v>
      </c>
      <c r="J20" s="435"/>
      <c r="K20" s="426">
        <v>94</v>
      </c>
      <c r="L20" s="435"/>
      <c r="M20" s="426">
        <v>82</v>
      </c>
      <c r="N20" s="427"/>
      <c r="O20" s="427"/>
      <c r="P20" s="435"/>
      <c r="Q20" s="432"/>
      <c r="R20" s="426">
        <v>9</v>
      </c>
      <c r="S20" s="435"/>
      <c r="T20" s="66" t="s">
        <v>115</v>
      </c>
      <c r="U20" s="426">
        <v>549</v>
      </c>
      <c r="V20" s="427"/>
      <c r="W20" s="427"/>
      <c r="X20" s="435"/>
      <c r="Y20" s="426">
        <v>169</v>
      </c>
      <c r="Z20" s="427"/>
      <c r="AA20" s="426">
        <v>126</v>
      </c>
      <c r="AB20" s="427"/>
      <c r="AC20" s="426">
        <v>93</v>
      </c>
      <c r="AD20" s="427"/>
      <c r="AE20" s="435"/>
      <c r="AF20" s="426">
        <v>27</v>
      </c>
      <c r="AG20" s="435"/>
    </row>
    <row r="21" spans="1:33" ht="15" thickTop="1" x14ac:dyDescent="0.3"/>
  </sheetData>
  <mergeCells count="38">
    <mergeCell ref="AC2:AE2"/>
    <mergeCell ref="AC20:AE20"/>
    <mergeCell ref="Y2:Z2"/>
    <mergeCell ref="A1:D1"/>
    <mergeCell ref="AF20:AG20"/>
    <mergeCell ref="AF2:AG2"/>
    <mergeCell ref="Q19:Q20"/>
    <mergeCell ref="I20:J20"/>
    <mergeCell ref="K20:L20"/>
    <mergeCell ref="M20:P20"/>
    <mergeCell ref="R20:S20"/>
    <mergeCell ref="U20:X20"/>
    <mergeCell ref="Y20:Z20"/>
    <mergeCell ref="AA20:AB20"/>
    <mergeCell ref="U1:AG1"/>
    <mergeCell ref="I2:J2"/>
    <mergeCell ref="G19:G20"/>
    <mergeCell ref="M2:P2"/>
    <mergeCell ref="Q2:Q3"/>
    <mergeCell ref="R2:S2"/>
    <mergeCell ref="U2:X2"/>
    <mergeCell ref="K2:L2"/>
    <mergeCell ref="E1:G1"/>
    <mergeCell ref="AA2:AB2"/>
    <mergeCell ref="T1:T3"/>
    <mergeCell ref="A19:D19"/>
    <mergeCell ref="E19:E20"/>
    <mergeCell ref="A20:D20"/>
    <mergeCell ref="H1:H3"/>
    <mergeCell ref="I1:S1"/>
    <mergeCell ref="A2:A3"/>
    <mergeCell ref="B2:B3"/>
    <mergeCell ref="C2:C3"/>
    <mergeCell ref="D2:D3"/>
    <mergeCell ref="E2:E3"/>
    <mergeCell ref="F2:F3"/>
    <mergeCell ref="G2:G3"/>
    <mergeCell ref="F19:F20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{73146915-5521-438B-B3E6-C5CB9EBE3033}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{9D86DCEB-F372-4791-B78E-ACA89D4C853A}</x14:id>
        </ext>
      </extLst>
    </cfRule>
  </conditionalFormatting>
  <hyperlinks>
    <hyperlink ref="D18" r:id="rId1" display="https://archive.org/details/throughspainreco00dickrich/page/n13/mode/2up" xr:uid="{5A9B75CE-BE6E-4E25-B92C-C341311E009F}"/>
    <hyperlink ref="D17" r:id="rId2" display="https://www.gutenberg.org/ebooks/7430" xr:uid="{192AAE1D-3930-4848-81A9-8586B2184645}"/>
    <hyperlink ref="D16" r:id="rId3" display="https://www.gutenberg.org/ebooks/40201" xr:uid="{EDC7FDE8-7095-4F0C-9644-97DC19990E74}"/>
    <hyperlink ref="D10" r:id="rId4" display="https://archive.org/details/sunshadowinspain00elliuoft" xr:uid="{34BD575F-2DBA-42B0-B11F-10EB583B022C}"/>
    <hyperlink ref="D8" r:id="rId5" display="https://www.gutenberg.org/ebooks/27252" xr:uid="{D93AFE2A-8B93-443A-8F80-3DBB0A390E2A}"/>
    <hyperlink ref="D7" r:id="rId6" display="https://archive.org/details/atrampinspain00unkngoog/page/n8/mode/2up" xr:uid="{F7D8C86E-D9AD-4D85-B499-F150D6A3132C}"/>
    <hyperlink ref="D6" r:id="rId7" display="https://www.gutenberg.org/ebooks/59944" xr:uid="{4A382383-DC88-4915-96DF-C6C83D4F3149}"/>
    <hyperlink ref="D4" r:id="rId8" display="https://www.gutenberg.org/ebooks/38767" xr:uid="{B8784C60-5C4E-4B78-86AA-A8475B3A33BD}"/>
    <hyperlink ref="D9" r:id="rId9" display="https://www.gutenberg.org/ebooks/37944" xr:uid="{D4C6380E-4155-4541-BDCE-42FEF55CD62E}"/>
    <hyperlink ref="D13" r:id="rId10" display="https://www.gutenberg.org/ebooks/41593" xr:uid="{3792FE4A-E201-4993-B389-F1EBF8704E47}"/>
    <hyperlink ref="D5" r:id="rId11" display="https://archive.org/details/landofdons00will/page/n19/mode/2up" xr:uid="{9A56F23B-6EEB-4C24-A23D-974378494A26}"/>
    <hyperlink ref="D15" r:id="rId12" display="https://www.gutenberg.org/ebooks/40357" xr:uid="{BB80AF4E-273C-4836-8337-88EA7E0B733E}"/>
    <hyperlink ref="D14" r:id="rId13" display="https://www.gutenberg.org/ebooks/author/39917" xr:uid="{D7B958E6-E9A8-4C28-8B0E-349C9D5819A3}"/>
    <hyperlink ref="D12" r:id="rId14" display="https://www.gutenberg.org/ebooks/40356" xr:uid="{C7D2A579-761C-45E2-8945-E483AE451009}"/>
    <hyperlink ref="D11" r:id="rId15" display="https://archive.org/details/spainoftodaynarr00shaw/page/n11/mode/2up" xr:uid="{4A85FF0A-F25D-4F9E-BF24-B759F54179C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146915-5521-438B-B3E6-C5CB9EBE30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9D86DCEB-F372-4791-B78E-ACA89D4C8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sheetPr>
    <tabColor rgb="FF00B0F0"/>
  </sheetPr>
  <dimension ref="A1:DK21"/>
  <sheetViews>
    <sheetView tabSelected="1" topLeftCell="BQ1" zoomScale="50" zoomScaleNormal="50" workbookViewId="0">
      <selection activeCell="CL13" sqref="CL13"/>
    </sheetView>
  </sheetViews>
  <sheetFormatPr baseColWidth="10" defaultColWidth="8.88671875" defaultRowHeight="14.4" x14ac:dyDescent="0.3"/>
  <cols>
    <col min="1" max="1" width="79" customWidth="1"/>
    <col min="2" max="2" width="64.44140625" customWidth="1"/>
    <col min="3" max="3" width="26.88671875" customWidth="1"/>
    <col min="4" max="4" width="25.6640625" customWidth="1"/>
    <col min="5" max="5" width="33.6640625" customWidth="1"/>
    <col min="6" max="6" width="21.21875" customWidth="1"/>
    <col min="7" max="7" width="25" customWidth="1"/>
    <col min="8" max="8" width="16.109375" customWidth="1"/>
    <col min="9" max="9" width="33.21875" customWidth="1"/>
    <col min="10" max="10" width="11.88671875" customWidth="1"/>
    <col min="11" max="11" width="13.88671875" customWidth="1"/>
    <col min="12" max="13" width="12.109375" customWidth="1"/>
    <col min="14" max="14" width="8.77734375" customWidth="1"/>
    <col min="15" max="15" width="11.44140625" customWidth="1"/>
    <col min="16" max="18" width="12.5546875" customWidth="1"/>
    <col min="19" max="28" width="11" customWidth="1"/>
    <col min="29" max="29" width="19.88671875" customWidth="1"/>
    <col min="30" max="30" width="14.33203125" customWidth="1"/>
    <col min="31" max="31" width="15.6640625" customWidth="1"/>
    <col min="32" max="32" width="14.109375" customWidth="1"/>
    <col min="33" max="33" width="12.33203125" customWidth="1"/>
    <col min="34" max="34" width="13.6640625" customWidth="1"/>
    <col min="35" max="35" width="14.5546875" customWidth="1"/>
    <col min="36" max="36" width="17" customWidth="1"/>
    <col min="37" max="37" width="14.109375" customWidth="1"/>
    <col min="38" max="38" width="17" customWidth="1"/>
    <col min="39" max="39" width="16.77734375" customWidth="1"/>
    <col min="40" max="40" width="14.109375" customWidth="1"/>
    <col min="41" max="41" width="33.21875" customWidth="1"/>
    <col min="42" max="42" width="14.33203125" customWidth="1"/>
    <col min="43" max="43" width="9.6640625" customWidth="1"/>
    <col min="44" max="45" width="11" customWidth="1"/>
    <col min="46" max="46" width="9.88671875" customWidth="1"/>
    <col min="47" max="49" width="11" customWidth="1"/>
    <col min="50" max="50" width="13.21875" customWidth="1"/>
    <col min="51" max="56" width="11" customWidth="1"/>
    <col min="57" max="57" width="13.44140625" customWidth="1"/>
    <col min="58" max="58" width="11" customWidth="1"/>
    <col min="59" max="59" width="11.44140625" customWidth="1"/>
    <col min="60" max="60" width="33.21875" customWidth="1"/>
    <col min="61" max="61" width="13" customWidth="1"/>
    <col min="62" max="62" width="13.88671875" customWidth="1"/>
    <col min="63" max="63" width="9.88671875" customWidth="1"/>
    <col min="64" max="64" width="11.44140625" customWidth="1"/>
    <col min="65" max="66" width="13.44140625" customWidth="1"/>
    <col min="67" max="67" width="13.6640625" customWidth="1"/>
    <col min="68" max="68" width="14.109375" customWidth="1"/>
    <col min="69" max="69" width="13.44140625" customWidth="1"/>
    <col min="70" max="70" width="12.109375" customWidth="1"/>
    <col min="71" max="71" width="11.44140625" customWidth="1"/>
    <col min="72" max="73" width="12.5546875" customWidth="1"/>
    <col min="74" max="74" width="10.109375" customWidth="1"/>
    <col min="75" max="76" width="11.88671875" customWidth="1"/>
    <col min="77" max="77" width="13" customWidth="1"/>
    <col min="78" max="78" width="14.109375" customWidth="1"/>
    <col min="79" max="79" width="8.5546875" customWidth="1"/>
    <col min="80" max="80" width="9.6640625" customWidth="1"/>
    <col min="81" max="81" width="10.109375" customWidth="1"/>
    <col min="82" max="82" width="12.5546875" customWidth="1"/>
    <col min="83" max="83" width="11.6640625" customWidth="1"/>
    <col min="84" max="84" width="11.44140625" customWidth="1"/>
    <col min="85" max="85" width="10.33203125" customWidth="1"/>
    <col min="86" max="86" width="13.44140625" customWidth="1"/>
    <col min="87" max="87" width="11.88671875" customWidth="1"/>
    <col min="88" max="88" width="12.77734375" customWidth="1"/>
    <col min="89" max="89" width="11.6640625" customWidth="1"/>
    <col min="90" max="91" width="14.5546875" customWidth="1"/>
    <col min="92" max="93" width="12.33203125" customWidth="1"/>
    <col min="94" max="94" width="14.5546875" customWidth="1"/>
    <col min="95" max="95" width="13.6640625" customWidth="1"/>
  </cols>
  <sheetData>
    <row r="1" spans="1:96" s="102" customFormat="1" ht="40.799999999999997" customHeight="1" thickTop="1" thickBot="1" x14ac:dyDescent="0.45">
      <c r="A1" s="459" t="s">
        <v>0</v>
      </c>
      <c r="B1" s="459"/>
      <c r="C1" s="459"/>
      <c r="D1" s="460"/>
      <c r="E1" s="475" t="s">
        <v>328</v>
      </c>
      <c r="F1" s="476"/>
      <c r="G1" s="476"/>
      <c r="H1" s="477"/>
      <c r="I1" s="461" t="s">
        <v>192</v>
      </c>
      <c r="J1" s="451" t="s">
        <v>334</v>
      </c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  <c r="AK1" s="452"/>
      <c r="AL1" s="452"/>
      <c r="AM1" s="452"/>
      <c r="AN1" s="452"/>
      <c r="AO1" s="441" t="s">
        <v>192</v>
      </c>
      <c r="AP1" s="446" t="s">
        <v>480</v>
      </c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8"/>
      <c r="BH1" s="441" t="s">
        <v>192</v>
      </c>
      <c r="BI1" s="449" t="s">
        <v>337</v>
      </c>
      <c r="BJ1" s="450"/>
      <c r="BK1" s="450"/>
      <c r="BL1" s="450"/>
      <c r="BM1" s="450"/>
      <c r="BN1" s="450"/>
      <c r="BO1" s="450"/>
      <c r="BP1" s="450"/>
      <c r="BQ1" s="450"/>
      <c r="BR1" s="450"/>
      <c r="BS1" s="450"/>
      <c r="BT1" s="450"/>
      <c r="BU1" s="450"/>
      <c r="BV1" s="450"/>
      <c r="BW1" s="450"/>
      <c r="BX1" s="450"/>
      <c r="BY1" s="450"/>
      <c r="BZ1" s="450"/>
      <c r="CA1" s="450"/>
      <c r="CB1" s="450"/>
      <c r="CC1" s="450"/>
      <c r="CD1" s="450"/>
      <c r="CE1" s="450"/>
      <c r="CF1" s="450"/>
      <c r="CG1" s="450"/>
      <c r="CH1" s="450"/>
      <c r="CI1" s="450"/>
      <c r="CJ1" s="450"/>
      <c r="CK1" s="450"/>
      <c r="CL1" s="450"/>
      <c r="CM1" s="450"/>
      <c r="CN1" s="450"/>
      <c r="CO1" s="450"/>
      <c r="CP1" s="450"/>
      <c r="CQ1" s="450"/>
      <c r="CR1" s="101"/>
    </row>
    <row r="2" spans="1:96" ht="31.2" customHeight="1" thickTop="1" x14ac:dyDescent="0.3">
      <c r="A2" s="453" t="s">
        <v>1</v>
      </c>
      <c r="B2" s="455" t="s">
        <v>2</v>
      </c>
      <c r="C2" s="455" t="s">
        <v>3</v>
      </c>
      <c r="D2" s="457" t="s">
        <v>4</v>
      </c>
      <c r="E2" s="478" t="s">
        <v>360</v>
      </c>
      <c r="F2" s="479" t="s">
        <v>331</v>
      </c>
      <c r="G2" s="479" t="s">
        <v>332</v>
      </c>
      <c r="H2" s="479" t="s">
        <v>333</v>
      </c>
      <c r="I2" s="462"/>
      <c r="J2" s="436" t="s">
        <v>204</v>
      </c>
      <c r="K2" s="437"/>
      <c r="L2" s="437"/>
      <c r="M2" s="437"/>
      <c r="N2" s="437"/>
      <c r="O2" s="437"/>
      <c r="P2" s="436" t="s">
        <v>205</v>
      </c>
      <c r="Q2" s="437"/>
      <c r="R2" s="437"/>
      <c r="S2" s="438"/>
      <c r="T2" s="436" t="s">
        <v>206</v>
      </c>
      <c r="U2" s="437"/>
      <c r="V2" s="437"/>
      <c r="W2" s="437"/>
      <c r="X2" s="437"/>
      <c r="Y2" s="436" t="s">
        <v>207</v>
      </c>
      <c r="Z2" s="437"/>
      <c r="AA2" s="436" t="s">
        <v>466</v>
      </c>
      <c r="AB2" s="438"/>
      <c r="AC2" s="439" t="s">
        <v>208</v>
      </c>
      <c r="AD2" s="439" t="s">
        <v>209</v>
      </c>
      <c r="AE2" s="436" t="s">
        <v>210</v>
      </c>
      <c r="AF2" s="437"/>
      <c r="AG2" s="444" t="s">
        <v>211</v>
      </c>
      <c r="AH2" s="444" t="s">
        <v>212</v>
      </c>
      <c r="AI2" s="436" t="s">
        <v>213</v>
      </c>
      <c r="AJ2" s="438"/>
      <c r="AK2" s="439" t="s">
        <v>214</v>
      </c>
      <c r="AL2" s="439" t="s">
        <v>215</v>
      </c>
      <c r="AM2" s="444" t="s">
        <v>216</v>
      </c>
      <c r="AN2" s="439" t="s">
        <v>217</v>
      </c>
      <c r="AO2" s="442"/>
      <c r="AP2" s="444" t="s">
        <v>336</v>
      </c>
      <c r="AQ2" s="436" t="s">
        <v>218</v>
      </c>
      <c r="AR2" s="437"/>
      <c r="AS2" s="437"/>
      <c r="AT2" s="437"/>
      <c r="AU2" s="436" t="s">
        <v>219</v>
      </c>
      <c r="AV2" s="437"/>
      <c r="AW2" s="437"/>
      <c r="AX2" s="437"/>
      <c r="AY2" s="436" t="s">
        <v>220</v>
      </c>
      <c r="AZ2" s="437"/>
      <c r="BA2" s="436" t="s">
        <v>221</v>
      </c>
      <c r="BB2" s="437"/>
      <c r="BC2" s="437"/>
      <c r="BD2" s="436" t="s">
        <v>222</v>
      </c>
      <c r="BE2" s="437"/>
      <c r="BF2" s="436" t="s">
        <v>223</v>
      </c>
      <c r="BG2" s="438"/>
      <c r="BH2" s="442"/>
      <c r="BI2" s="436" t="s">
        <v>338</v>
      </c>
      <c r="BJ2" s="437"/>
      <c r="BK2" s="437"/>
      <c r="BL2" s="437"/>
      <c r="BM2" s="436" t="s">
        <v>224</v>
      </c>
      <c r="BN2" s="437"/>
      <c r="BO2" s="436" t="s">
        <v>203</v>
      </c>
      <c r="BP2" s="437"/>
      <c r="BQ2" s="437"/>
      <c r="BR2" s="438"/>
      <c r="BS2" s="436" t="s">
        <v>225</v>
      </c>
      <c r="BT2" s="437"/>
      <c r="BU2" s="437"/>
      <c r="BV2" s="436" t="s">
        <v>228</v>
      </c>
      <c r="BW2" s="437"/>
      <c r="BX2" s="438"/>
      <c r="BY2" s="436" t="s">
        <v>226</v>
      </c>
      <c r="BZ2" s="437"/>
      <c r="CA2" s="436" t="s">
        <v>227</v>
      </c>
      <c r="CB2" s="437"/>
      <c r="CC2" s="438"/>
      <c r="CD2" s="436" t="s">
        <v>230</v>
      </c>
      <c r="CE2" s="437"/>
      <c r="CF2" s="438"/>
      <c r="CG2" s="436" t="s">
        <v>346</v>
      </c>
      <c r="CH2" s="437"/>
      <c r="CI2" s="438"/>
      <c r="CJ2" s="436" t="s">
        <v>345</v>
      </c>
      <c r="CK2" s="438"/>
      <c r="CL2" s="444" t="s">
        <v>229</v>
      </c>
      <c r="CM2" s="439" t="s">
        <v>342</v>
      </c>
      <c r="CN2" s="436" t="s">
        <v>233</v>
      </c>
      <c r="CO2" s="438"/>
      <c r="CP2" s="444" t="s">
        <v>231</v>
      </c>
      <c r="CQ2" s="444" t="s">
        <v>232</v>
      </c>
      <c r="CR2" s="65"/>
    </row>
    <row r="3" spans="1:96" ht="40.799999999999997" customHeight="1" thickBot="1" x14ac:dyDescent="0.35">
      <c r="A3" s="454"/>
      <c r="B3" s="456"/>
      <c r="C3" s="456"/>
      <c r="D3" s="458"/>
      <c r="E3" s="445"/>
      <c r="F3" s="480"/>
      <c r="G3" s="480"/>
      <c r="H3" s="480"/>
      <c r="I3" s="463"/>
      <c r="J3" s="82" t="s">
        <v>143</v>
      </c>
      <c r="K3" s="86" t="s">
        <v>152</v>
      </c>
      <c r="L3" s="86" t="s">
        <v>156</v>
      </c>
      <c r="M3" s="87" t="s">
        <v>470</v>
      </c>
      <c r="N3" s="87" t="s">
        <v>54</v>
      </c>
      <c r="O3" s="87" t="s">
        <v>177</v>
      </c>
      <c r="P3" s="85" t="s">
        <v>76</v>
      </c>
      <c r="Q3" s="18" t="s">
        <v>465</v>
      </c>
      <c r="R3" s="18" t="s">
        <v>75</v>
      </c>
      <c r="S3" s="93" t="s">
        <v>147</v>
      </c>
      <c r="T3" s="87" t="s">
        <v>160</v>
      </c>
      <c r="U3" s="87" t="s">
        <v>335</v>
      </c>
      <c r="V3" s="86" t="s">
        <v>157</v>
      </c>
      <c r="W3" s="87" t="s">
        <v>180</v>
      </c>
      <c r="X3" s="32" t="s">
        <v>473</v>
      </c>
      <c r="Y3" s="31" t="s">
        <v>158</v>
      </c>
      <c r="Z3" s="27" t="s">
        <v>53</v>
      </c>
      <c r="AA3" s="423" t="s">
        <v>467</v>
      </c>
      <c r="AB3" s="205" t="s">
        <v>468</v>
      </c>
      <c r="AC3" s="440"/>
      <c r="AD3" s="440"/>
      <c r="AE3" s="85" t="s">
        <v>164</v>
      </c>
      <c r="AF3" s="27" t="s">
        <v>165</v>
      </c>
      <c r="AG3" s="445"/>
      <c r="AH3" s="445"/>
      <c r="AI3" s="85" t="s">
        <v>79</v>
      </c>
      <c r="AJ3" s="87" t="s">
        <v>181</v>
      </c>
      <c r="AK3" s="440"/>
      <c r="AL3" s="440"/>
      <c r="AM3" s="445"/>
      <c r="AN3" s="440"/>
      <c r="AO3" s="443"/>
      <c r="AP3" s="445"/>
      <c r="AQ3" s="82" t="s">
        <v>91</v>
      </c>
      <c r="AR3" s="87" t="s">
        <v>50</v>
      </c>
      <c r="AS3" s="87" t="s">
        <v>100</v>
      </c>
      <c r="AT3" s="86" t="s">
        <v>476</v>
      </c>
      <c r="AU3" s="82" t="s">
        <v>89</v>
      </c>
      <c r="AV3" s="86" t="s">
        <v>166</v>
      </c>
      <c r="AW3" s="87" t="s">
        <v>182</v>
      </c>
      <c r="AX3" s="87" t="s">
        <v>46</v>
      </c>
      <c r="AY3" s="82" t="s">
        <v>163</v>
      </c>
      <c r="AZ3" s="87" t="s">
        <v>178</v>
      </c>
      <c r="BA3" s="82" t="s">
        <v>161</v>
      </c>
      <c r="BB3" s="84" t="s">
        <v>460</v>
      </c>
      <c r="BC3" s="87" t="s">
        <v>162</v>
      </c>
      <c r="BD3" s="82" t="s">
        <v>77</v>
      </c>
      <c r="BE3" s="87" t="s">
        <v>78</v>
      </c>
      <c r="BF3" s="82" t="s">
        <v>481</v>
      </c>
      <c r="BG3" s="88" t="s">
        <v>477</v>
      </c>
      <c r="BH3" s="443"/>
      <c r="BI3" s="85" t="s">
        <v>349</v>
      </c>
      <c r="BJ3" s="27" t="s">
        <v>339</v>
      </c>
      <c r="BK3" s="18" t="s">
        <v>461</v>
      </c>
      <c r="BL3" s="87" t="s">
        <v>340</v>
      </c>
      <c r="BM3" s="82" t="s">
        <v>141</v>
      </c>
      <c r="BN3" s="87" t="s">
        <v>140</v>
      </c>
      <c r="BO3" s="82" t="s">
        <v>148</v>
      </c>
      <c r="BP3" s="87" t="s">
        <v>151</v>
      </c>
      <c r="BQ3" s="18" t="s">
        <v>149</v>
      </c>
      <c r="BR3" s="93" t="s">
        <v>150</v>
      </c>
      <c r="BS3" s="85" t="s">
        <v>175</v>
      </c>
      <c r="BT3" s="27" t="s">
        <v>350</v>
      </c>
      <c r="BU3" s="18" t="s">
        <v>464</v>
      </c>
      <c r="BV3" s="241" t="s">
        <v>462</v>
      </c>
      <c r="BW3" s="18" t="s">
        <v>343</v>
      </c>
      <c r="BX3" s="32" t="s">
        <v>463</v>
      </c>
      <c r="BY3" s="82" t="s">
        <v>153</v>
      </c>
      <c r="BZ3" s="87" t="s">
        <v>154</v>
      </c>
      <c r="CA3" s="85" t="s">
        <v>172</v>
      </c>
      <c r="CB3" s="18" t="s">
        <v>348</v>
      </c>
      <c r="CC3" s="93" t="s">
        <v>171</v>
      </c>
      <c r="CD3" s="241" t="s">
        <v>341</v>
      </c>
      <c r="CE3" s="16" t="s">
        <v>471</v>
      </c>
      <c r="CF3" s="421" t="s">
        <v>469</v>
      </c>
      <c r="CG3" s="241" t="s">
        <v>347</v>
      </c>
      <c r="CH3" s="16" t="s">
        <v>474</v>
      </c>
      <c r="CI3" s="88" t="s">
        <v>472</v>
      </c>
      <c r="CJ3" s="241" t="s">
        <v>344</v>
      </c>
      <c r="CK3" s="421" t="s">
        <v>478</v>
      </c>
      <c r="CL3" s="445"/>
      <c r="CM3" s="440"/>
      <c r="CN3" s="241" t="s">
        <v>475</v>
      </c>
      <c r="CO3" s="205" t="s">
        <v>482</v>
      </c>
      <c r="CP3" s="445"/>
      <c r="CQ3" s="445"/>
      <c r="CR3" s="65"/>
    </row>
    <row r="4" spans="1:96" ht="34.799999999999997" customHeight="1" thickTop="1" x14ac:dyDescent="0.5">
      <c r="A4" s="9" t="s">
        <v>5</v>
      </c>
      <c r="B4" s="10" t="s">
        <v>6</v>
      </c>
      <c r="C4" s="11">
        <v>1900</v>
      </c>
      <c r="D4" s="33" t="s">
        <v>7</v>
      </c>
      <c r="E4" s="244" t="s">
        <v>459</v>
      </c>
      <c r="F4" s="137">
        <v>40</v>
      </c>
      <c r="G4" s="137">
        <v>14</v>
      </c>
      <c r="H4" s="251">
        <v>64</v>
      </c>
      <c r="I4" s="76" t="s">
        <v>184</v>
      </c>
      <c r="J4" s="142">
        <v>10</v>
      </c>
      <c r="K4" s="147">
        <v>5</v>
      </c>
      <c r="L4" s="147">
        <v>3</v>
      </c>
      <c r="M4" s="225"/>
      <c r="N4" s="225"/>
      <c r="O4" s="225"/>
      <c r="P4" s="124">
        <v>7</v>
      </c>
      <c r="Q4" s="147"/>
      <c r="R4" s="147">
        <v>1</v>
      </c>
      <c r="S4" s="125"/>
      <c r="T4" s="225">
        <v>2</v>
      </c>
      <c r="U4" s="621">
        <v>4</v>
      </c>
      <c r="V4" s="622">
        <v>3</v>
      </c>
      <c r="W4" s="225"/>
      <c r="X4" s="125"/>
      <c r="Y4" s="142">
        <v>2</v>
      </c>
      <c r="Z4" s="225"/>
      <c r="AA4" s="124"/>
      <c r="AB4" s="125"/>
      <c r="AC4" s="124"/>
      <c r="AD4" s="124"/>
      <c r="AE4" s="124">
        <v>1</v>
      </c>
      <c r="AF4" s="225"/>
      <c r="AG4" s="124"/>
      <c r="AH4" s="623">
        <v>2</v>
      </c>
      <c r="AI4" s="124"/>
      <c r="AJ4" s="225"/>
      <c r="AK4" s="124"/>
      <c r="AL4" s="124"/>
      <c r="AM4" s="137"/>
      <c r="AN4" s="124"/>
      <c r="AO4" s="97" t="s">
        <v>184</v>
      </c>
      <c r="AP4" s="124">
        <v>4</v>
      </c>
      <c r="AQ4" s="142">
        <v>3</v>
      </c>
      <c r="AR4" s="225"/>
      <c r="AS4" s="225">
        <v>1</v>
      </c>
      <c r="AT4" s="147"/>
      <c r="AU4" s="618">
        <v>4</v>
      </c>
      <c r="AV4" s="147"/>
      <c r="AW4" s="225"/>
      <c r="AX4" s="225"/>
      <c r="AY4" s="142">
        <v>1</v>
      </c>
      <c r="AZ4" s="225"/>
      <c r="BA4" s="142"/>
      <c r="BB4" s="133"/>
      <c r="BC4" s="225"/>
      <c r="BD4" s="142"/>
      <c r="BE4" s="225">
        <v>1</v>
      </c>
      <c r="BF4" s="142"/>
      <c r="BG4" s="245"/>
      <c r="BH4" s="97" t="s">
        <v>184</v>
      </c>
      <c r="BI4" s="124">
        <v>6</v>
      </c>
      <c r="BJ4" s="619">
        <v>5</v>
      </c>
      <c r="BK4" s="147"/>
      <c r="BL4" s="621">
        <v>3</v>
      </c>
      <c r="BM4" s="142">
        <v>5</v>
      </c>
      <c r="BN4" s="621">
        <v>11</v>
      </c>
      <c r="BO4" s="142"/>
      <c r="BP4" s="619">
        <v>6</v>
      </c>
      <c r="BQ4" s="622">
        <v>6</v>
      </c>
      <c r="BR4" s="125">
        <v>2</v>
      </c>
      <c r="BS4" s="124">
        <v>4</v>
      </c>
      <c r="BT4" s="225">
        <v>1</v>
      </c>
      <c r="BU4" s="147"/>
      <c r="BV4" s="124"/>
      <c r="BW4" s="147">
        <v>1</v>
      </c>
      <c r="BX4" s="125"/>
      <c r="BY4" s="618">
        <v>5</v>
      </c>
      <c r="BZ4" s="225"/>
      <c r="CA4" s="124">
        <v>1</v>
      </c>
      <c r="CB4" s="147">
        <v>1</v>
      </c>
      <c r="CC4" s="631">
        <v>1</v>
      </c>
      <c r="CD4" s="635">
        <v>2</v>
      </c>
      <c r="CE4" s="147"/>
      <c r="CF4" s="125"/>
      <c r="CG4" s="124">
        <v>1</v>
      </c>
      <c r="CH4" s="147"/>
      <c r="CI4" s="125"/>
      <c r="CJ4" s="124">
        <v>1</v>
      </c>
      <c r="CK4" s="125"/>
      <c r="CL4" s="137">
        <v>1</v>
      </c>
      <c r="CM4" s="124">
        <v>1</v>
      </c>
      <c r="CN4" s="124"/>
      <c r="CO4" s="125"/>
      <c r="CP4" s="137"/>
      <c r="CQ4" s="137"/>
      <c r="CR4" s="65"/>
    </row>
    <row r="5" spans="1:96" ht="33.6" customHeight="1" x14ac:dyDescent="0.5">
      <c r="A5" s="13" t="s">
        <v>8</v>
      </c>
      <c r="B5" s="3" t="s">
        <v>9</v>
      </c>
      <c r="C5" s="2">
        <v>1902</v>
      </c>
      <c r="D5" s="34" t="s">
        <v>10</v>
      </c>
      <c r="E5" s="248" t="s">
        <v>365</v>
      </c>
      <c r="F5" s="140">
        <v>10</v>
      </c>
      <c r="G5" s="140">
        <v>5</v>
      </c>
      <c r="H5" s="140">
        <v>61</v>
      </c>
      <c r="I5" s="74" t="s">
        <v>197</v>
      </c>
      <c r="J5" s="143"/>
      <c r="K5" s="148"/>
      <c r="L5" s="148"/>
      <c r="M5" s="175"/>
      <c r="N5" s="175"/>
      <c r="O5" s="175"/>
      <c r="P5" s="126">
        <v>4</v>
      </c>
      <c r="Q5" s="148"/>
      <c r="R5" s="148"/>
      <c r="S5" s="127"/>
      <c r="T5" s="175"/>
      <c r="U5" s="175"/>
      <c r="V5" s="148">
        <v>1</v>
      </c>
      <c r="W5" s="175"/>
      <c r="X5" s="127"/>
      <c r="Y5" s="143">
        <v>2</v>
      </c>
      <c r="Z5" s="175"/>
      <c r="AA5" s="126"/>
      <c r="AB5" s="127"/>
      <c r="AC5" s="126">
        <v>1</v>
      </c>
      <c r="AD5" s="126"/>
      <c r="AE5" s="126"/>
      <c r="AF5" s="344">
        <v>1</v>
      </c>
      <c r="AG5" s="126"/>
      <c r="AH5" s="73"/>
      <c r="AI5" s="126"/>
      <c r="AJ5" s="175"/>
      <c r="AK5" s="126"/>
      <c r="AL5" s="126"/>
      <c r="AM5" s="73"/>
      <c r="AN5" s="293">
        <v>1</v>
      </c>
      <c r="AO5" s="98" t="s">
        <v>197</v>
      </c>
      <c r="AP5" s="126"/>
      <c r="AQ5" s="143"/>
      <c r="AR5" s="175"/>
      <c r="AS5" s="175"/>
      <c r="AT5" s="148"/>
      <c r="AU5" s="143">
        <v>1</v>
      </c>
      <c r="AV5" s="148"/>
      <c r="AW5" s="175"/>
      <c r="AX5" s="175"/>
      <c r="AY5" s="143"/>
      <c r="AZ5" s="175"/>
      <c r="BA5" s="143">
        <v>3</v>
      </c>
      <c r="BB5" s="134">
        <v>1</v>
      </c>
      <c r="BC5" s="175"/>
      <c r="BD5" s="143"/>
      <c r="BE5" s="175"/>
      <c r="BF5" s="143"/>
      <c r="BG5" s="181"/>
      <c r="BH5" s="98" t="s">
        <v>197</v>
      </c>
      <c r="BI5" s="143">
        <v>1</v>
      </c>
      <c r="BJ5" s="134"/>
      <c r="BK5" s="291">
        <v>2</v>
      </c>
      <c r="BL5" s="175"/>
      <c r="BM5" s="412">
        <v>14</v>
      </c>
      <c r="BN5" s="175">
        <v>1</v>
      </c>
      <c r="BO5" s="143">
        <v>4</v>
      </c>
      <c r="BP5" s="175">
        <v>1</v>
      </c>
      <c r="BQ5" s="148">
        <v>2</v>
      </c>
      <c r="BR5" s="127"/>
      <c r="BS5" s="293">
        <v>24</v>
      </c>
      <c r="BT5" s="344">
        <v>4</v>
      </c>
      <c r="BU5" s="148">
        <v>1</v>
      </c>
      <c r="BV5" s="126">
        <v>2</v>
      </c>
      <c r="BW5" s="148"/>
      <c r="BX5" s="127">
        <v>1</v>
      </c>
      <c r="BY5" s="143"/>
      <c r="BZ5" s="175"/>
      <c r="CA5" s="126"/>
      <c r="CB5" s="148"/>
      <c r="CC5" s="127"/>
      <c r="CD5" s="126"/>
      <c r="CE5" s="148"/>
      <c r="CF5" s="127"/>
      <c r="CG5" s="126"/>
      <c r="CH5" s="148"/>
      <c r="CI5" s="127"/>
      <c r="CJ5" s="293">
        <v>1</v>
      </c>
      <c r="CK5" s="127"/>
      <c r="CL5" s="73"/>
      <c r="CM5" s="126"/>
      <c r="CN5" s="126"/>
      <c r="CO5" s="414">
        <v>1</v>
      </c>
      <c r="CP5" s="637">
        <v>1</v>
      </c>
      <c r="CQ5" s="637">
        <v>1</v>
      </c>
      <c r="CR5" s="65"/>
    </row>
    <row r="6" spans="1:96" ht="30.6" customHeight="1" x14ac:dyDescent="0.5">
      <c r="A6" s="13" t="s">
        <v>11</v>
      </c>
      <c r="B6" s="3" t="s">
        <v>12</v>
      </c>
      <c r="C6" s="2">
        <v>1903</v>
      </c>
      <c r="D6" s="35" t="s">
        <v>7</v>
      </c>
      <c r="E6" s="248" t="s">
        <v>369</v>
      </c>
      <c r="F6" s="140">
        <v>9</v>
      </c>
      <c r="G6" s="140">
        <v>11</v>
      </c>
      <c r="H6" s="140">
        <v>13</v>
      </c>
      <c r="I6" s="74" t="s">
        <v>193</v>
      </c>
      <c r="J6" s="143"/>
      <c r="K6" s="148">
        <v>1</v>
      </c>
      <c r="L6" s="148">
        <v>2</v>
      </c>
      <c r="M6" s="175"/>
      <c r="N6" s="175"/>
      <c r="O6" s="175">
        <v>2</v>
      </c>
      <c r="P6" s="126">
        <v>1</v>
      </c>
      <c r="Q6" s="148">
        <v>1</v>
      </c>
      <c r="R6" s="148"/>
      <c r="S6" s="127"/>
      <c r="T6" s="175"/>
      <c r="U6" s="175"/>
      <c r="V6" s="148"/>
      <c r="W6" s="175">
        <v>1</v>
      </c>
      <c r="X6" s="127"/>
      <c r="Y6" s="143"/>
      <c r="Z6" s="175"/>
      <c r="AA6" s="126">
        <v>1</v>
      </c>
      <c r="AB6" s="127"/>
      <c r="AC6" s="126"/>
      <c r="AD6" s="126"/>
      <c r="AE6" s="126"/>
      <c r="AF6" s="175"/>
      <c r="AG6" s="126"/>
      <c r="AH6" s="73"/>
      <c r="AI6" s="126"/>
      <c r="AJ6" s="175"/>
      <c r="AK6" s="126"/>
      <c r="AL6" s="126"/>
      <c r="AM6" s="73"/>
      <c r="AN6" s="126"/>
      <c r="AO6" s="98" t="s">
        <v>193</v>
      </c>
      <c r="AP6" s="126">
        <v>4</v>
      </c>
      <c r="AQ6" s="143"/>
      <c r="AR6" s="175"/>
      <c r="AS6" s="175"/>
      <c r="AT6" s="148"/>
      <c r="AU6" s="355">
        <v>4</v>
      </c>
      <c r="AV6" s="148">
        <v>2</v>
      </c>
      <c r="AW6" s="175"/>
      <c r="AX6" s="175"/>
      <c r="AY6" s="143"/>
      <c r="AZ6" s="175">
        <v>1</v>
      </c>
      <c r="BA6" s="143"/>
      <c r="BB6" s="134"/>
      <c r="BC6" s="175"/>
      <c r="BD6" s="143"/>
      <c r="BE6" s="175"/>
      <c r="BF6" s="143"/>
      <c r="BG6" s="181"/>
      <c r="BH6" s="98" t="s">
        <v>193</v>
      </c>
      <c r="BI6" s="143">
        <v>4</v>
      </c>
      <c r="BJ6" s="134">
        <v>4</v>
      </c>
      <c r="BK6" s="148"/>
      <c r="BL6" s="175"/>
      <c r="BM6" s="143">
        <v>1</v>
      </c>
      <c r="BN6" s="175">
        <v>2</v>
      </c>
      <c r="BO6" s="143"/>
      <c r="BP6" s="175">
        <v>1</v>
      </c>
      <c r="BQ6" s="148"/>
      <c r="BR6" s="127"/>
      <c r="BS6" s="126"/>
      <c r="BT6" s="175">
        <v>1</v>
      </c>
      <c r="BU6" s="148"/>
      <c r="BV6" s="126"/>
      <c r="BW6" s="148"/>
      <c r="BX6" s="127"/>
      <c r="BY6" s="143"/>
      <c r="BZ6" s="175"/>
      <c r="CA6" s="126"/>
      <c r="CB6" s="148"/>
      <c r="CC6" s="127"/>
      <c r="CD6" s="126"/>
      <c r="CE6" s="148"/>
      <c r="CF6" s="127"/>
      <c r="CG6" s="126"/>
      <c r="CH6" s="148"/>
      <c r="CI6" s="127"/>
      <c r="CJ6" s="126"/>
      <c r="CK6" s="127"/>
      <c r="CL6" s="73"/>
      <c r="CM6" s="126"/>
      <c r="CN6" s="126"/>
      <c r="CO6" s="127"/>
      <c r="CP6" s="73"/>
      <c r="CQ6" s="73"/>
      <c r="CR6" s="65"/>
    </row>
    <row r="7" spans="1:96" ht="33.6" customHeight="1" x14ac:dyDescent="0.5">
      <c r="A7" s="13" t="s">
        <v>13</v>
      </c>
      <c r="B7" s="3" t="s">
        <v>14</v>
      </c>
      <c r="C7" s="2">
        <v>1904</v>
      </c>
      <c r="D7" s="35" t="s">
        <v>15</v>
      </c>
      <c r="E7" s="248" t="s">
        <v>374</v>
      </c>
      <c r="F7" s="140">
        <v>46</v>
      </c>
      <c r="G7" s="249">
        <v>39</v>
      </c>
      <c r="H7" s="140">
        <v>31</v>
      </c>
      <c r="I7" s="74" t="s">
        <v>191</v>
      </c>
      <c r="J7" s="355">
        <v>11</v>
      </c>
      <c r="K7" s="255">
        <v>9</v>
      </c>
      <c r="L7" s="148"/>
      <c r="M7" s="175"/>
      <c r="N7" s="175"/>
      <c r="O7" s="175"/>
      <c r="P7" s="256">
        <v>12</v>
      </c>
      <c r="Q7" s="148">
        <v>1</v>
      </c>
      <c r="R7" s="148">
        <v>1</v>
      </c>
      <c r="S7" s="127"/>
      <c r="T7" s="366">
        <v>3</v>
      </c>
      <c r="U7" s="175"/>
      <c r="V7" s="148"/>
      <c r="W7" s="175"/>
      <c r="X7" s="127"/>
      <c r="Y7" s="143">
        <v>1</v>
      </c>
      <c r="Z7" s="175"/>
      <c r="AA7" s="126">
        <v>2</v>
      </c>
      <c r="AB7" s="127">
        <v>1</v>
      </c>
      <c r="AC7" s="293">
        <v>5</v>
      </c>
      <c r="AD7" s="126"/>
      <c r="AE7" s="126"/>
      <c r="AF7" s="175"/>
      <c r="AG7" s="126"/>
      <c r="AH7" s="73"/>
      <c r="AI7" s="126"/>
      <c r="AJ7" s="175"/>
      <c r="AK7" s="126"/>
      <c r="AL7" s="126"/>
      <c r="AM7" s="73"/>
      <c r="AN7" s="126"/>
      <c r="AO7" s="98" t="s">
        <v>191</v>
      </c>
      <c r="AP7" s="256">
        <v>19</v>
      </c>
      <c r="AQ7" s="355">
        <v>6</v>
      </c>
      <c r="AR7" s="366">
        <v>8</v>
      </c>
      <c r="AS7" s="175"/>
      <c r="AT7" s="148"/>
      <c r="AU7" s="143"/>
      <c r="AV7" s="148"/>
      <c r="AW7" s="175"/>
      <c r="AX7" s="175"/>
      <c r="AY7" s="355">
        <v>6</v>
      </c>
      <c r="AZ7" s="175"/>
      <c r="BA7" s="143"/>
      <c r="BB7" s="134"/>
      <c r="BC7" s="175"/>
      <c r="BD7" s="143"/>
      <c r="BE7" s="175"/>
      <c r="BF7" s="143"/>
      <c r="BG7" s="181"/>
      <c r="BH7" s="98" t="s">
        <v>191</v>
      </c>
      <c r="BI7" s="143">
        <v>2</v>
      </c>
      <c r="BJ7" s="134">
        <v>1</v>
      </c>
      <c r="BK7" s="148"/>
      <c r="BL7" s="175"/>
      <c r="BM7" s="412">
        <v>14</v>
      </c>
      <c r="BN7" s="175">
        <v>4</v>
      </c>
      <c r="BO7" s="143">
        <v>2</v>
      </c>
      <c r="BP7" s="175"/>
      <c r="BQ7" s="148">
        <v>1</v>
      </c>
      <c r="BR7" s="127"/>
      <c r="BS7" s="126">
        <v>4</v>
      </c>
      <c r="BT7" s="175"/>
      <c r="BU7" s="148"/>
      <c r="BV7" s="126">
        <v>1</v>
      </c>
      <c r="BW7" s="148"/>
      <c r="BX7" s="127"/>
      <c r="BY7" s="143"/>
      <c r="BZ7" s="175"/>
      <c r="CA7" s="126"/>
      <c r="CB7" s="148"/>
      <c r="CC7" s="127"/>
      <c r="CD7" s="126">
        <v>1</v>
      </c>
      <c r="CE7" s="148"/>
      <c r="CF7" s="127">
        <v>1</v>
      </c>
      <c r="CG7" s="126"/>
      <c r="CH7" s="148"/>
      <c r="CI7" s="127"/>
      <c r="CJ7" s="126"/>
      <c r="CK7" s="127"/>
      <c r="CL7" s="73"/>
      <c r="CM7" s="126"/>
      <c r="CN7" s="126"/>
      <c r="CO7" s="127"/>
      <c r="CP7" s="73"/>
      <c r="CQ7" s="73"/>
      <c r="CR7" s="65"/>
    </row>
    <row r="8" spans="1:96" ht="34.200000000000003" customHeight="1" thickBot="1" x14ac:dyDescent="0.55000000000000004">
      <c r="A8" s="14" t="s">
        <v>16</v>
      </c>
      <c r="B8" s="15" t="s">
        <v>17</v>
      </c>
      <c r="C8" s="16">
        <v>1905</v>
      </c>
      <c r="D8" s="36" t="s">
        <v>7</v>
      </c>
      <c r="E8" s="420" t="s">
        <v>378</v>
      </c>
      <c r="F8" s="420">
        <v>93</v>
      </c>
      <c r="G8" s="139">
        <v>26</v>
      </c>
      <c r="H8" s="250">
        <v>64</v>
      </c>
      <c r="I8" s="75" t="s">
        <v>196</v>
      </c>
      <c r="J8" s="359">
        <v>18</v>
      </c>
      <c r="K8" s="413">
        <v>13</v>
      </c>
      <c r="L8" s="413">
        <v>6</v>
      </c>
      <c r="M8" s="177">
        <v>1</v>
      </c>
      <c r="N8" s="177"/>
      <c r="O8" s="177">
        <v>1</v>
      </c>
      <c r="P8" s="295">
        <v>17</v>
      </c>
      <c r="Q8" s="413">
        <v>9</v>
      </c>
      <c r="R8" s="149">
        <v>1</v>
      </c>
      <c r="S8" s="128">
        <v>1</v>
      </c>
      <c r="T8" s="177">
        <v>2</v>
      </c>
      <c r="U8" s="177"/>
      <c r="V8" s="284">
        <v>2</v>
      </c>
      <c r="W8" s="177">
        <v>2</v>
      </c>
      <c r="X8" s="128"/>
      <c r="Y8" s="359">
        <v>8</v>
      </c>
      <c r="Z8" s="177"/>
      <c r="AA8" s="138">
        <v>2</v>
      </c>
      <c r="AB8" s="128">
        <v>3</v>
      </c>
      <c r="AC8" s="295">
        <v>6</v>
      </c>
      <c r="AD8" s="138"/>
      <c r="AE8" s="138"/>
      <c r="AF8" s="177"/>
      <c r="AG8" s="138">
        <v>1</v>
      </c>
      <c r="AH8" s="139"/>
      <c r="AI8" s="138"/>
      <c r="AJ8" s="177"/>
      <c r="AK8" s="138"/>
      <c r="AL8" s="138"/>
      <c r="AM8" s="139"/>
      <c r="AN8" s="138"/>
      <c r="AO8" s="99" t="s">
        <v>196</v>
      </c>
      <c r="AP8" s="138">
        <v>2</v>
      </c>
      <c r="AQ8" s="359">
        <v>8</v>
      </c>
      <c r="AR8" s="177">
        <v>3</v>
      </c>
      <c r="AS8" s="177">
        <v>2</v>
      </c>
      <c r="AT8" s="149"/>
      <c r="AU8" s="146">
        <v>1</v>
      </c>
      <c r="AV8" s="149"/>
      <c r="AW8" s="177"/>
      <c r="AX8" s="177"/>
      <c r="AY8" s="146"/>
      <c r="AZ8" s="177"/>
      <c r="BA8" s="359">
        <v>5</v>
      </c>
      <c r="BB8" s="176"/>
      <c r="BC8" s="177">
        <v>2</v>
      </c>
      <c r="BD8" s="359">
        <v>3</v>
      </c>
      <c r="BE8" s="177"/>
      <c r="BF8" s="146"/>
      <c r="BG8" s="45"/>
      <c r="BH8" s="99" t="s">
        <v>196</v>
      </c>
      <c r="BI8" s="146">
        <v>4</v>
      </c>
      <c r="BJ8" s="176"/>
      <c r="BK8" s="149">
        <v>1</v>
      </c>
      <c r="BL8" s="177">
        <v>3</v>
      </c>
      <c r="BM8" s="146">
        <v>2</v>
      </c>
      <c r="BN8" s="177">
        <v>1</v>
      </c>
      <c r="BO8" s="146">
        <v>5</v>
      </c>
      <c r="BP8" s="177">
        <v>4</v>
      </c>
      <c r="BQ8" s="284">
        <v>4</v>
      </c>
      <c r="BR8" s="128">
        <v>2</v>
      </c>
      <c r="BS8" s="285">
        <v>8</v>
      </c>
      <c r="BT8" s="177"/>
      <c r="BU8" s="149"/>
      <c r="BV8" s="295">
        <v>11</v>
      </c>
      <c r="BW8" s="284">
        <v>4</v>
      </c>
      <c r="BX8" s="629">
        <v>3</v>
      </c>
      <c r="BY8" s="146">
        <v>1</v>
      </c>
      <c r="BZ8" s="177">
        <v>1</v>
      </c>
      <c r="CA8" s="138">
        <v>1</v>
      </c>
      <c r="CB8" s="149"/>
      <c r="CC8" s="128"/>
      <c r="CD8" s="285">
        <v>2</v>
      </c>
      <c r="CE8" s="149"/>
      <c r="CF8" s="128"/>
      <c r="CG8" s="138">
        <v>1</v>
      </c>
      <c r="CH8" s="149"/>
      <c r="CI8" s="128"/>
      <c r="CJ8" s="138"/>
      <c r="CK8" s="128"/>
      <c r="CL8" s="287">
        <v>6</v>
      </c>
      <c r="CM8" s="138"/>
      <c r="CN8" s="138"/>
      <c r="CO8" s="128"/>
      <c r="CP8" s="139"/>
      <c r="CQ8" s="139"/>
      <c r="CR8" s="65"/>
    </row>
    <row r="9" spans="1:96" ht="42" customHeight="1" thickTop="1" x14ac:dyDescent="0.5">
      <c r="A9" s="6" t="s">
        <v>11</v>
      </c>
      <c r="B9" s="7" t="s">
        <v>18</v>
      </c>
      <c r="C9" s="6">
        <v>1908</v>
      </c>
      <c r="D9" s="37" t="s">
        <v>7</v>
      </c>
      <c r="E9" s="248" t="s">
        <v>382</v>
      </c>
      <c r="F9" s="248">
        <v>17</v>
      </c>
      <c r="G9" s="248">
        <v>3</v>
      </c>
      <c r="H9" s="248">
        <v>35</v>
      </c>
      <c r="I9" s="76" t="s">
        <v>195</v>
      </c>
      <c r="J9" s="144"/>
      <c r="K9" s="150">
        <v>1</v>
      </c>
      <c r="L9" s="150"/>
      <c r="M9" s="174"/>
      <c r="N9" s="174"/>
      <c r="O9" s="174"/>
      <c r="P9" s="129">
        <v>5</v>
      </c>
      <c r="Q9" s="150">
        <v>1</v>
      </c>
      <c r="R9" s="150">
        <v>1</v>
      </c>
      <c r="S9" s="130">
        <v>1</v>
      </c>
      <c r="T9" s="174"/>
      <c r="U9" s="174"/>
      <c r="V9" s="150"/>
      <c r="W9" s="620">
        <v>6</v>
      </c>
      <c r="X9" s="130"/>
      <c r="Y9" s="144">
        <v>1</v>
      </c>
      <c r="Z9" s="174"/>
      <c r="AA9" s="129"/>
      <c r="AB9" s="130"/>
      <c r="AC9" s="129">
        <v>1</v>
      </c>
      <c r="AD9" s="129"/>
      <c r="AE9" s="129"/>
      <c r="AF9" s="174"/>
      <c r="AG9" s="129"/>
      <c r="AH9" s="140"/>
      <c r="AI9" s="129"/>
      <c r="AJ9" s="174"/>
      <c r="AK9" s="129"/>
      <c r="AL9" s="129"/>
      <c r="AM9" s="140"/>
      <c r="AN9" s="129"/>
      <c r="AO9" s="97" t="s">
        <v>195</v>
      </c>
      <c r="AP9" s="129">
        <v>2</v>
      </c>
      <c r="AQ9" s="144"/>
      <c r="AR9" s="174"/>
      <c r="AS9" s="174">
        <v>1</v>
      </c>
      <c r="AT9" s="150"/>
      <c r="AU9" s="144"/>
      <c r="AV9" s="150"/>
      <c r="AW9" s="174"/>
      <c r="AX9" s="174"/>
      <c r="AY9" s="144"/>
      <c r="AZ9" s="174"/>
      <c r="BA9" s="144"/>
      <c r="BB9" s="135"/>
      <c r="BC9" s="174"/>
      <c r="BD9" s="144"/>
      <c r="BE9" s="174"/>
      <c r="BF9" s="144"/>
      <c r="BG9" s="178"/>
      <c r="BH9" s="97" t="s">
        <v>195</v>
      </c>
      <c r="BI9" s="632">
        <v>10</v>
      </c>
      <c r="BJ9" s="628">
        <v>5</v>
      </c>
      <c r="BK9" s="150"/>
      <c r="BL9" s="174"/>
      <c r="BM9" s="144"/>
      <c r="BN9" s="174"/>
      <c r="BO9" s="627">
        <v>7</v>
      </c>
      <c r="BP9" s="174"/>
      <c r="BQ9" s="150">
        <v>2</v>
      </c>
      <c r="BR9" s="130"/>
      <c r="BS9" s="129">
        <v>5</v>
      </c>
      <c r="BT9" s="174">
        <v>1</v>
      </c>
      <c r="BU9" s="150"/>
      <c r="BV9" s="129"/>
      <c r="BW9" s="150"/>
      <c r="BX9" s="130"/>
      <c r="BY9" s="144"/>
      <c r="BZ9" s="174"/>
      <c r="CA9" s="129">
        <v>1</v>
      </c>
      <c r="CB9" s="150"/>
      <c r="CC9" s="130"/>
      <c r="CD9" s="129"/>
      <c r="CE9" s="150">
        <v>1</v>
      </c>
      <c r="CF9" s="130">
        <v>1</v>
      </c>
      <c r="CG9" s="288">
        <v>2</v>
      </c>
      <c r="CH9" s="150"/>
      <c r="CI9" s="130"/>
      <c r="CJ9" s="129"/>
      <c r="CK9" s="130"/>
      <c r="CL9" s="140"/>
      <c r="CM9" s="129"/>
      <c r="CN9" s="129"/>
      <c r="CO9" s="130"/>
      <c r="CP9" s="140"/>
      <c r="CQ9" s="140"/>
      <c r="CR9" s="65"/>
    </row>
    <row r="10" spans="1:96" ht="25.8" x14ac:dyDescent="0.5">
      <c r="A10" s="2" t="s">
        <v>19</v>
      </c>
      <c r="B10" s="3" t="s">
        <v>20</v>
      </c>
      <c r="C10" s="2">
        <v>1908</v>
      </c>
      <c r="D10" s="35" t="s">
        <v>15</v>
      </c>
      <c r="E10" s="249" t="s">
        <v>385</v>
      </c>
      <c r="F10" s="249">
        <v>41</v>
      </c>
      <c r="G10" s="248">
        <v>14</v>
      </c>
      <c r="H10" s="298">
        <v>77</v>
      </c>
      <c r="I10" s="74" t="s">
        <v>197</v>
      </c>
      <c r="J10" s="143">
        <v>5</v>
      </c>
      <c r="K10" s="148">
        <v>2</v>
      </c>
      <c r="L10" s="148">
        <v>1</v>
      </c>
      <c r="M10" s="175"/>
      <c r="N10" s="175"/>
      <c r="O10" s="175"/>
      <c r="P10" s="126">
        <v>9</v>
      </c>
      <c r="Q10" s="148"/>
      <c r="R10" s="148"/>
      <c r="S10" s="127">
        <v>1</v>
      </c>
      <c r="T10" s="344">
        <v>5</v>
      </c>
      <c r="U10" s="175">
        <v>3</v>
      </c>
      <c r="V10" s="148">
        <v>1</v>
      </c>
      <c r="W10" s="175"/>
      <c r="X10" s="127"/>
      <c r="Y10" s="355">
        <v>6</v>
      </c>
      <c r="Z10" s="175"/>
      <c r="AA10" s="256">
        <v>4</v>
      </c>
      <c r="AB10" s="127">
        <v>1</v>
      </c>
      <c r="AC10" s="126"/>
      <c r="AD10" s="126">
        <v>1</v>
      </c>
      <c r="AE10" s="126"/>
      <c r="AF10" s="175"/>
      <c r="AG10" s="293">
        <v>2</v>
      </c>
      <c r="AH10" s="73"/>
      <c r="AI10" s="126"/>
      <c r="AJ10" s="175"/>
      <c r="AK10" s="126"/>
      <c r="AL10" s="126"/>
      <c r="AM10" s="73"/>
      <c r="AN10" s="126"/>
      <c r="AO10" s="98" t="s">
        <v>197</v>
      </c>
      <c r="AP10" s="126">
        <v>5</v>
      </c>
      <c r="AQ10" s="143">
        <v>2</v>
      </c>
      <c r="AR10" s="175"/>
      <c r="AS10" s="175">
        <v>1</v>
      </c>
      <c r="AT10" s="148"/>
      <c r="AU10" s="143">
        <v>2</v>
      </c>
      <c r="AV10" s="291">
        <v>2</v>
      </c>
      <c r="AW10" s="175"/>
      <c r="AX10" s="175"/>
      <c r="AY10" s="143">
        <v>1</v>
      </c>
      <c r="AZ10" s="344">
        <v>1</v>
      </c>
      <c r="BA10" s="143"/>
      <c r="BB10" s="134"/>
      <c r="BC10" s="175"/>
      <c r="BD10" s="143"/>
      <c r="BE10" s="175"/>
      <c r="BF10" s="143"/>
      <c r="BG10" s="181"/>
      <c r="BH10" s="98" t="s">
        <v>197</v>
      </c>
      <c r="BI10" s="355">
        <v>8</v>
      </c>
      <c r="BJ10" s="134">
        <v>4</v>
      </c>
      <c r="BK10" s="148"/>
      <c r="BL10" s="175"/>
      <c r="BM10" s="143">
        <v>5</v>
      </c>
      <c r="BN10" s="175"/>
      <c r="BO10" s="412">
        <v>9</v>
      </c>
      <c r="BP10" s="175">
        <v>2</v>
      </c>
      <c r="BQ10" s="148">
        <v>1</v>
      </c>
      <c r="BR10" s="127">
        <v>1</v>
      </c>
      <c r="BS10" s="256">
        <v>7</v>
      </c>
      <c r="BT10" s="175">
        <v>2</v>
      </c>
      <c r="BU10" s="148"/>
      <c r="BV10" s="256">
        <v>6</v>
      </c>
      <c r="BW10" s="148">
        <v>1</v>
      </c>
      <c r="BX10" s="283">
        <v>5</v>
      </c>
      <c r="BY10" s="412">
        <v>11</v>
      </c>
      <c r="BZ10" s="175">
        <v>1</v>
      </c>
      <c r="CA10" s="293">
        <v>9</v>
      </c>
      <c r="CB10" s="148">
        <v>1</v>
      </c>
      <c r="CC10" s="127"/>
      <c r="CD10" s="126">
        <v>1</v>
      </c>
      <c r="CE10" s="148"/>
      <c r="CF10" s="127"/>
      <c r="CG10" s="126"/>
      <c r="CH10" s="148"/>
      <c r="CI10" s="283">
        <v>2</v>
      </c>
      <c r="CJ10" s="126">
        <v>1</v>
      </c>
      <c r="CK10" s="127"/>
      <c r="CL10" s="73"/>
      <c r="CM10" s="126"/>
      <c r="CN10" s="126"/>
      <c r="CO10" s="127"/>
      <c r="CP10" s="73"/>
      <c r="CQ10" s="73"/>
      <c r="CR10" s="65"/>
    </row>
    <row r="11" spans="1:96" ht="33.6" customHeight="1" x14ac:dyDescent="0.5">
      <c r="A11" s="2" t="s">
        <v>23</v>
      </c>
      <c r="B11" s="3" t="s">
        <v>24</v>
      </c>
      <c r="C11" s="2">
        <v>1909</v>
      </c>
      <c r="D11" s="4" t="s">
        <v>15</v>
      </c>
      <c r="E11" s="248" t="s">
        <v>389</v>
      </c>
      <c r="F11" s="248">
        <v>10</v>
      </c>
      <c r="G11" s="248">
        <v>19</v>
      </c>
      <c r="H11" s="248">
        <v>19</v>
      </c>
      <c r="I11" s="74"/>
      <c r="J11" s="143"/>
      <c r="K11" s="148">
        <v>1</v>
      </c>
      <c r="L11" s="148">
        <v>1</v>
      </c>
      <c r="M11" s="175"/>
      <c r="N11" s="175"/>
      <c r="O11" s="175"/>
      <c r="P11" s="126">
        <v>5</v>
      </c>
      <c r="Q11" s="148"/>
      <c r="R11" s="148"/>
      <c r="S11" s="127"/>
      <c r="T11" s="175">
        <v>1</v>
      </c>
      <c r="U11" s="175">
        <v>1</v>
      </c>
      <c r="V11" s="148">
        <v>1</v>
      </c>
      <c r="W11" s="175"/>
      <c r="X11" s="127"/>
      <c r="Y11" s="143"/>
      <c r="Z11" s="175"/>
      <c r="AA11" s="126"/>
      <c r="AB11" s="127"/>
      <c r="AC11" s="126"/>
      <c r="AD11" s="126"/>
      <c r="AE11" s="126"/>
      <c r="AF11" s="175"/>
      <c r="AG11" s="126"/>
      <c r="AH11" s="73"/>
      <c r="AI11" s="126"/>
      <c r="AJ11" s="175"/>
      <c r="AK11" s="126"/>
      <c r="AL11" s="126"/>
      <c r="AM11" s="73"/>
      <c r="AN11" s="126"/>
      <c r="AO11" s="98"/>
      <c r="AP11" s="126">
        <v>16</v>
      </c>
      <c r="AQ11" s="143"/>
      <c r="AR11" s="175"/>
      <c r="AS11" s="175"/>
      <c r="AT11" s="148"/>
      <c r="AU11" s="143">
        <v>2</v>
      </c>
      <c r="AV11" s="148">
        <v>1</v>
      </c>
      <c r="AW11" s="175"/>
      <c r="AX11" s="175"/>
      <c r="AY11" s="143"/>
      <c r="AZ11" s="175"/>
      <c r="BA11" s="143"/>
      <c r="BB11" s="134"/>
      <c r="BC11" s="175"/>
      <c r="BD11" s="143"/>
      <c r="BE11" s="175"/>
      <c r="BF11" s="143"/>
      <c r="BG11" s="181"/>
      <c r="BH11" s="98"/>
      <c r="BI11" s="143">
        <v>3</v>
      </c>
      <c r="BJ11" s="257">
        <v>5</v>
      </c>
      <c r="BK11" s="148"/>
      <c r="BL11" s="175"/>
      <c r="BM11" s="143">
        <v>7</v>
      </c>
      <c r="BN11" s="175"/>
      <c r="BO11" s="143"/>
      <c r="BP11" s="175">
        <v>2</v>
      </c>
      <c r="BQ11" s="148"/>
      <c r="BR11" s="127"/>
      <c r="BS11" s="126">
        <v>1</v>
      </c>
      <c r="BT11" s="175"/>
      <c r="BU11" s="148"/>
      <c r="BV11" s="126"/>
      <c r="BW11" s="148"/>
      <c r="BX11" s="127"/>
      <c r="BY11" s="143"/>
      <c r="BZ11" s="175"/>
      <c r="CA11" s="126"/>
      <c r="CB11" s="148"/>
      <c r="CC11" s="127"/>
      <c r="CD11" s="126">
        <v>1</v>
      </c>
      <c r="CE11" s="148"/>
      <c r="CF11" s="127"/>
      <c r="CG11" s="126"/>
      <c r="CH11" s="148"/>
      <c r="CI11" s="127"/>
      <c r="CJ11" s="126"/>
      <c r="CK11" s="127"/>
      <c r="CL11" s="73"/>
      <c r="CM11" s="126"/>
      <c r="CN11" s="126"/>
      <c r="CO11" s="127"/>
      <c r="CP11" s="73"/>
      <c r="CQ11" s="73"/>
      <c r="CR11" s="65"/>
    </row>
    <row r="12" spans="1:96" ht="32.4" customHeight="1" x14ac:dyDescent="0.5">
      <c r="A12" s="2" t="s">
        <v>21</v>
      </c>
      <c r="B12" s="3" t="s">
        <v>22</v>
      </c>
      <c r="C12" s="2">
        <v>1909</v>
      </c>
      <c r="D12" s="4" t="s">
        <v>7</v>
      </c>
      <c r="E12" s="248" t="s">
        <v>394</v>
      </c>
      <c r="F12" s="248">
        <v>6</v>
      </c>
      <c r="G12" s="248">
        <v>9</v>
      </c>
      <c r="H12" s="248">
        <v>12</v>
      </c>
      <c r="I12" s="74" t="s">
        <v>185</v>
      </c>
      <c r="J12" s="143">
        <v>2</v>
      </c>
      <c r="K12" s="148">
        <v>1</v>
      </c>
      <c r="L12" s="148"/>
      <c r="M12" s="175"/>
      <c r="N12" s="175"/>
      <c r="O12" s="175"/>
      <c r="P12" s="126"/>
      <c r="Q12" s="148"/>
      <c r="R12" s="148"/>
      <c r="S12" s="127">
        <v>1</v>
      </c>
      <c r="T12" s="175"/>
      <c r="U12" s="175"/>
      <c r="V12" s="148"/>
      <c r="W12" s="175"/>
      <c r="X12" s="127">
        <v>1</v>
      </c>
      <c r="Y12" s="143"/>
      <c r="Z12" s="175"/>
      <c r="AA12" s="126">
        <v>1</v>
      </c>
      <c r="AB12" s="127"/>
      <c r="AC12" s="126"/>
      <c r="AD12" s="126"/>
      <c r="AE12" s="126"/>
      <c r="AF12" s="175"/>
      <c r="AG12" s="126"/>
      <c r="AH12" s="73"/>
      <c r="AI12" s="126"/>
      <c r="AJ12" s="175"/>
      <c r="AK12" s="126"/>
      <c r="AL12" s="126"/>
      <c r="AM12" s="73"/>
      <c r="AN12" s="126"/>
      <c r="AO12" s="98" t="s">
        <v>189</v>
      </c>
      <c r="AP12" s="126">
        <v>3</v>
      </c>
      <c r="AQ12" s="143"/>
      <c r="AR12" s="175"/>
      <c r="AS12" s="175"/>
      <c r="AT12" s="148"/>
      <c r="AU12" s="355">
        <v>4</v>
      </c>
      <c r="AV12" s="148"/>
      <c r="AW12" s="175"/>
      <c r="AX12" s="344">
        <v>2</v>
      </c>
      <c r="AY12" s="143"/>
      <c r="AZ12" s="175"/>
      <c r="BA12" s="143"/>
      <c r="BB12" s="134"/>
      <c r="BC12" s="175"/>
      <c r="BD12" s="143"/>
      <c r="BE12" s="175"/>
      <c r="BF12" s="143"/>
      <c r="BG12" s="181"/>
      <c r="BH12" s="98" t="s">
        <v>197</v>
      </c>
      <c r="BI12" s="143">
        <v>5</v>
      </c>
      <c r="BJ12" s="134">
        <v>1</v>
      </c>
      <c r="BK12" s="148"/>
      <c r="BL12" s="175"/>
      <c r="BM12" s="143">
        <v>1</v>
      </c>
      <c r="BN12" s="175">
        <v>1</v>
      </c>
      <c r="BO12" s="143"/>
      <c r="BP12" s="175"/>
      <c r="BQ12" s="148"/>
      <c r="BR12" s="127"/>
      <c r="BS12" s="126">
        <v>1</v>
      </c>
      <c r="BT12" s="175"/>
      <c r="BU12" s="148"/>
      <c r="BV12" s="126"/>
      <c r="BW12" s="148"/>
      <c r="BX12" s="127">
        <v>2</v>
      </c>
      <c r="BY12" s="143"/>
      <c r="BZ12" s="175"/>
      <c r="CA12" s="126"/>
      <c r="CB12" s="148"/>
      <c r="CC12" s="127"/>
      <c r="CD12" s="126">
        <v>1</v>
      </c>
      <c r="CE12" s="148"/>
      <c r="CF12" s="127"/>
      <c r="CG12" s="126"/>
      <c r="CH12" s="148"/>
      <c r="CI12" s="127"/>
      <c r="CJ12" s="126"/>
      <c r="CK12" s="127"/>
      <c r="CL12" s="73"/>
      <c r="CM12" s="126"/>
      <c r="CN12" s="126"/>
      <c r="CO12" s="127"/>
      <c r="CP12" s="73"/>
      <c r="CQ12" s="73"/>
      <c r="CR12" s="65"/>
    </row>
    <row r="13" spans="1:96" ht="29.4" customHeight="1" x14ac:dyDescent="0.5">
      <c r="A13" s="2" t="s">
        <v>25</v>
      </c>
      <c r="B13" s="3" t="s">
        <v>26</v>
      </c>
      <c r="C13" s="2">
        <v>1910</v>
      </c>
      <c r="D13" s="35" t="s">
        <v>7</v>
      </c>
      <c r="E13" s="248" t="s">
        <v>399</v>
      </c>
      <c r="F13" s="248">
        <v>15</v>
      </c>
      <c r="G13" s="248">
        <v>11</v>
      </c>
      <c r="H13" s="248">
        <v>12</v>
      </c>
      <c r="I13" s="74" t="s">
        <v>189</v>
      </c>
      <c r="J13" s="143">
        <v>3</v>
      </c>
      <c r="K13" s="148"/>
      <c r="L13" s="148"/>
      <c r="M13" s="175"/>
      <c r="N13" s="175"/>
      <c r="O13" s="175"/>
      <c r="P13" s="126">
        <v>2</v>
      </c>
      <c r="Q13" s="148"/>
      <c r="R13" s="148">
        <v>1</v>
      </c>
      <c r="S13" s="127"/>
      <c r="T13" s="175">
        <v>1</v>
      </c>
      <c r="U13" s="175"/>
      <c r="V13" s="148"/>
      <c r="W13" s="175"/>
      <c r="X13" s="127">
        <v>1</v>
      </c>
      <c r="Y13" s="143">
        <v>1</v>
      </c>
      <c r="Z13" s="175"/>
      <c r="AA13" s="126"/>
      <c r="AB13" s="127"/>
      <c r="AC13" s="126"/>
      <c r="AD13" s="126"/>
      <c r="AE13" s="126"/>
      <c r="AF13" s="344">
        <v>1</v>
      </c>
      <c r="AG13" s="126">
        <v>1</v>
      </c>
      <c r="AH13" s="73"/>
      <c r="AI13" s="293">
        <v>1</v>
      </c>
      <c r="AJ13" s="344">
        <v>1</v>
      </c>
      <c r="AK13" s="293">
        <v>1</v>
      </c>
      <c r="AL13" s="293">
        <v>1</v>
      </c>
      <c r="AM13" s="73"/>
      <c r="AN13" s="126"/>
      <c r="AO13" s="98" t="s">
        <v>196</v>
      </c>
      <c r="AP13" s="126"/>
      <c r="AQ13" s="143">
        <v>1</v>
      </c>
      <c r="AR13" s="175">
        <v>2</v>
      </c>
      <c r="AS13" s="175"/>
      <c r="AT13" s="148"/>
      <c r="AU13" s="143">
        <v>2</v>
      </c>
      <c r="AV13" s="148">
        <v>1</v>
      </c>
      <c r="AW13" s="175"/>
      <c r="AX13" s="175"/>
      <c r="AY13" s="143">
        <v>2</v>
      </c>
      <c r="AZ13" s="175"/>
      <c r="BA13" s="143"/>
      <c r="BB13" s="134"/>
      <c r="BC13" s="175"/>
      <c r="BD13" s="143">
        <v>1</v>
      </c>
      <c r="BE13" s="175"/>
      <c r="BF13" s="412">
        <v>2</v>
      </c>
      <c r="BG13" s="181"/>
      <c r="BH13" s="98" t="s">
        <v>198</v>
      </c>
      <c r="BI13" s="143"/>
      <c r="BJ13" s="134">
        <v>1</v>
      </c>
      <c r="BK13" s="148"/>
      <c r="BL13" s="175">
        <v>1</v>
      </c>
      <c r="BM13" s="143">
        <v>1</v>
      </c>
      <c r="BN13" s="175"/>
      <c r="BO13" s="143"/>
      <c r="BP13" s="175"/>
      <c r="BQ13" s="148"/>
      <c r="BR13" s="127"/>
      <c r="BS13" s="126">
        <v>5</v>
      </c>
      <c r="BT13" s="175"/>
      <c r="BU13" s="148"/>
      <c r="BV13" s="126">
        <v>1</v>
      </c>
      <c r="BW13" s="148"/>
      <c r="BX13" s="127">
        <v>1</v>
      </c>
      <c r="BY13" s="143">
        <v>2</v>
      </c>
      <c r="BZ13" s="175"/>
      <c r="CA13" s="126"/>
      <c r="CB13" s="148"/>
      <c r="CC13" s="127"/>
      <c r="CD13" s="126"/>
      <c r="CE13" s="148"/>
      <c r="CF13" s="127"/>
      <c r="CG13" s="126"/>
      <c r="CH13" s="148"/>
      <c r="CI13" s="127"/>
      <c r="CJ13" s="126"/>
      <c r="CK13" s="127"/>
      <c r="CL13" s="73"/>
      <c r="CM13" s="126"/>
      <c r="CN13" s="126"/>
      <c r="CO13" s="127"/>
      <c r="CP13" s="73"/>
      <c r="CQ13" s="73"/>
      <c r="CR13" s="65"/>
    </row>
    <row r="14" spans="1:96" ht="37.200000000000003" customHeight="1" thickBot="1" x14ac:dyDescent="0.55000000000000004">
      <c r="A14" s="21" t="s">
        <v>27</v>
      </c>
      <c r="B14" s="19" t="s">
        <v>28</v>
      </c>
      <c r="C14" s="18">
        <v>1910</v>
      </c>
      <c r="D14" s="64" t="s">
        <v>29</v>
      </c>
      <c r="E14" s="247" t="s">
        <v>404</v>
      </c>
      <c r="F14" s="247">
        <v>5</v>
      </c>
      <c r="G14" s="247">
        <v>3</v>
      </c>
      <c r="H14" s="247">
        <v>22</v>
      </c>
      <c r="I14" s="75" t="s">
        <v>187</v>
      </c>
      <c r="J14" s="145"/>
      <c r="K14" s="151"/>
      <c r="L14" s="151">
        <v>1</v>
      </c>
      <c r="M14" s="226"/>
      <c r="N14" s="226"/>
      <c r="O14" s="226"/>
      <c r="P14" s="131">
        <v>1</v>
      </c>
      <c r="Q14" s="151"/>
      <c r="R14" s="151">
        <v>1</v>
      </c>
      <c r="S14" s="132"/>
      <c r="T14" s="226">
        <v>1</v>
      </c>
      <c r="U14" s="226"/>
      <c r="V14" s="151"/>
      <c r="W14" s="226"/>
      <c r="X14" s="132"/>
      <c r="Y14" s="145">
        <v>1</v>
      </c>
      <c r="Z14" s="226"/>
      <c r="AA14" s="131"/>
      <c r="AB14" s="132"/>
      <c r="AC14" s="131"/>
      <c r="AD14" s="131"/>
      <c r="AE14" s="131"/>
      <c r="AF14" s="226"/>
      <c r="AG14" s="131"/>
      <c r="AH14" s="141"/>
      <c r="AI14" s="624"/>
      <c r="AJ14" s="625"/>
      <c r="AK14" s="624"/>
      <c r="AL14" s="624"/>
      <c r="AM14" s="141"/>
      <c r="AN14" s="131"/>
      <c r="AO14" s="99" t="s">
        <v>199</v>
      </c>
      <c r="AP14" s="131">
        <v>2</v>
      </c>
      <c r="AQ14" s="145"/>
      <c r="AR14" s="226"/>
      <c r="AS14" s="226"/>
      <c r="AT14" s="151"/>
      <c r="AU14" s="145"/>
      <c r="AV14" s="151"/>
      <c r="AW14" s="226"/>
      <c r="AX14" s="226"/>
      <c r="AY14" s="145"/>
      <c r="AZ14" s="226"/>
      <c r="BA14" s="145"/>
      <c r="BB14" s="136"/>
      <c r="BC14" s="226"/>
      <c r="BD14" s="145"/>
      <c r="BE14" s="226">
        <v>1</v>
      </c>
      <c r="BF14" s="145"/>
      <c r="BG14" s="246"/>
      <c r="BH14" s="99" t="s">
        <v>200</v>
      </c>
      <c r="BI14" s="145">
        <v>3</v>
      </c>
      <c r="BJ14" s="136">
        <v>1</v>
      </c>
      <c r="BK14" s="151"/>
      <c r="BL14" s="226"/>
      <c r="BM14" s="145"/>
      <c r="BN14" s="226"/>
      <c r="BO14" s="145">
        <v>3</v>
      </c>
      <c r="BP14" s="226">
        <v>3</v>
      </c>
      <c r="BQ14" s="151">
        <v>1</v>
      </c>
      <c r="BR14" s="634">
        <v>2</v>
      </c>
      <c r="BS14" s="131"/>
      <c r="BT14" s="226"/>
      <c r="BU14" s="151"/>
      <c r="BV14" s="131"/>
      <c r="BW14" s="151"/>
      <c r="BX14" s="132"/>
      <c r="BY14" s="145">
        <v>1</v>
      </c>
      <c r="BZ14" s="226"/>
      <c r="CA14" s="630">
        <v>4</v>
      </c>
      <c r="CB14" s="151">
        <v>1</v>
      </c>
      <c r="CC14" s="132"/>
      <c r="CD14" s="131"/>
      <c r="CE14" s="151"/>
      <c r="CF14" s="132"/>
      <c r="CG14" s="131">
        <v>1</v>
      </c>
      <c r="CH14" s="151">
        <v>1</v>
      </c>
      <c r="CI14" s="132">
        <v>1</v>
      </c>
      <c r="CJ14" s="131"/>
      <c r="CK14" s="132"/>
      <c r="CL14" s="141"/>
      <c r="CM14" s="131"/>
      <c r="CN14" s="131"/>
      <c r="CO14" s="132"/>
      <c r="CP14" s="141"/>
      <c r="CQ14" s="141"/>
      <c r="CR14" s="65"/>
    </row>
    <row r="15" spans="1:96" ht="37.799999999999997" customHeight="1" thickTop="1" x14ac:dyDescent="0.5">
      <c r="A15" s="9" t="s">
        <v>30</v>
      </c>
      <c r="B15" s="11" t="s">
        <v>31</v>
      </c>
      <c r="C15" s="11">
        <v>1911</v>
      </c>
      <c r="D15" s="33" t="s">
        <v>7</v>
      </c>
      <c r="E15" s="248" t="s">
        <v>409</v>
      </c>
      <c r="F15" s="249">
        <v>44</v>
      </c>
      <c r="G15" s="248">
        <v>24</v>
      </c>
      <c r="H15" s="248">
        <v>41</v>
      </c>
      <c r="I15" s="76" t="s">
        <v>195</v>
      </c>
      <c r="J15" s="618">
        <v>14</v>
      </c>
      <c r="K15" s="411">
        <v>6</v>
      </c>
      <c r="L15" s="411">
        <v>4</v>
      </c>
      <c r="M15" s="225">
        <v>1</v>
      </c>
      <c r="N15" s="225"/>
      <c r="O15" s="225">
        <v>1</v>
      </c>
      <c r="P15" s="369">
        <v>9</v>
      </c>
      <c r="Q15" s="147"/>
      <c r="R15" s="147"/>
      <c r="S15" s="125"/>
      <c r="T15" s="225">
        <v>1</v>
      </c>
      <c r="U15" s="225">
        <v>1</v>
      </c>
      <c r="V15" s="147">
        <v>2</v>
      </c>
      <c r="W15" s="225"/>
      <c r="X15" s="125"/>
      <c r="Y15" s="142">
        <v>2</v>
      </c>
      <c r="Z15" s="225"/>
      <c r="AA15" s="124"/>
      <c r="AB15" s="125"/>
      <c r="AC15" s="124"/>
      <c r="AD15" s="124">
        <v>1</v>
      </c>
      <c r="AE15" s="124"/>
      <c r="AF15" s="225"/>
      <c r="AG15" s="124"/>
      <c r="AH15" s="137">
        <v>1</v>
      </c>
      <c r="AI15" s="124"/>
      <c r="AJ15" s="225"/>
      <c r="AK15" s="124"/>
      <c r="AL15" s="124"/>
      <c r="AM15" s="623">
        <v>1</v>
      </c>
      <c r="AN15" s="124"/>
      <c r="AO15" s="97" t="s">
        <v>185</v>
      </c>
      <c r="AP15" s="124">
        <v>2</v>
      </c>
      <c r="AQ15" s="618">
        <v>6</v>
      </c>
      <c r="AR15" s="225">
        <v>3</v>
      </c>
      <c r="AS15" s="225"/>
      <c r="AT15" s="147"/>
      <c r="AU15" s="618">
        <v>4</v>
      </c>
      <c r="AV15" s="147">
        <v>1</v>
      </c>
      <c r="AW15" s="225">
        <v>1</v>
      </c>
      <c r="AX15" s="225"/>
      <c r="AY15" s="142">
        <v>2</v>
      </c>
      <c r="AZ15" s="225">
        <v>1</v>
      </c>
      <c r="BA15" s="142">
        <v>1</v>
      </c>
      <c r="BB15" s="133"/>
      <c r="BC15" s="225"/>
      <c r="BD15" s="142"/>
      <c r="BE15" s="225"/>
      <c r="BF15" s="626">
        <v>3</v>
      </c>
      <c r="BG15" s="245"/>
      <c r="BH15" s="97" t="s">
        <v>190</v>
      </c>
      <c r="BI15" s="142">
        <v>1</v>
      </c>
      <c r="BJ15" s="133">
        <v>1</v>
      </c>
      <c r="BK15" s="147"/>
      <c r="BL15" s="225"/>
      <c r="BM15" s="142">
        <v>7</v>
      </c>
      <c r="BN15" s="619">
        <v>10</v>
      </c>
      <c r="BO15" s="618">
        <v>6</v>
      </c>
      <c r="BP15" s="225"/>
      <c r="BQ15" s="147">
        <v>1</v>
      </c>
      <c r="BR15" s="125"/>
      <c r="BS15" s="369">
        <v>7</v>
      </c>
      <c r="BT15" s="225"/>
      <c r="BU15" s="147"/>
      <c r="BV15" s="124"/>
      <c r="BW15" s="147"/>
      <c r="BX15" s="125"/>
      <c r="BY15" s="618">
        <v>6</v>
      </c>
      <c r="BZ15" s="225"/>
      <c r="CA15" s="124"/>
      <c r="CB15" s="147"/>
      <c r="CC15" s="125"/>
      <c r="CD15" s="124">
        <v>1</v>
      </c>
      <c r="CE15" s="147"/>
      <c r="CF15" s="125"/>
      <c r="CG15" s="124"/>
      <c r="CH15" s="147"/>
      <c r="CI15" s="125"/>
      <c r="CJ15" s="124"/>
      <c r="CK15" s="125"/>
      <c r="CL15" s="137"/>
      <c r="CM15" s="124"/>
      <c r="CN15" s="635">
        <v>1</v>
      </c>
      <c r="CO15" s="125"/>
      <c r="CP15" s="137"/>
      <c r="CQ15" s="137"/>
      <c r="CR15" s="65"/>
    </row>
    <row r="16" spans="1:96" ht="35.4" customHeight="1" x14ac:dyDescent="0.5">
      <c r="A16" s="13" t="s">
        <v>32</v>
      </c>
      <c r="B16" s="3" t="s">
        <v>33</v>
      </c>
      <c r="C16" s="2">
        <v>1912</v>
      </c>
      <c r="D16" s="35" t="s">
        <v>7</v>
      </c>
      <c r="E16" s="248" t="s">
        <v>414</v>
      </c>
      <c r="F16" s="248">
        <v>29</v>
      </c>
      <c r="G16" s="248">
        <v>15</v>
      </c>
      <c r="H16" s="248">
        <v>38</v>
      </c>
      <c r="I16" s="74" t="s">
        <v>190</v>
      </c>
      <c r="J16" s="143">
        <v>4</v>
      </c>
      <c r="K16" s="148">
        <v>2</v>
      </c>
      <c r="L16" s="148"/>
      <c r="M16" s="175"/>
      <c r="N16" s="344">
        <v>1</v>
      </c>
      <c r="O16" s="344">
        <v>1</v>
      </c>
      <c r="P16" s="126">
        <v>5</v>
      </c>
      <c r="Q16" s="148">
        <v>2</v>
      </c>
      <c r="R16" s="148"/>
      <c r="S16" s="127"/>
      <c r="T16" s="175">
        <v>1</v>
      </c>
      <c r="U16" s="175"/>
      <c r="V16" s="148"/>
      <c r="W16" s="344">
        <v>4</v>
      </c>
      <c r="X16" s="127"/>
      <c r="Y16" s="143">
        <v>2</v>
      </c>
      <c r="Z16" s="175">
        <v>1</v>
      </c>
      <c r="AA16" s="126">
        <v>1</v>
      </c>
      <c r="AB16" s="127"/>
      <c r="AC16" s="126">
        <v>1</v>
      </c>
      <c r="AD16" s="293">
        <v>3</v>
      </c>
      <c r="AE16" s="126">
        <v>1</v>
      </c>
      <c r="AF16" s="175"/>
      <c r="AG16" s="126"/>
      <c r="AH16" s="73"/>
      <c r="AI16" s="126"/>
      <c r="AJ16" s="175"/>
      <c r="AK16" s="126"/>
      <c r="AL16" s="126"/>
      <c r="AM16" s="73"/>
      <c r="AN16" s="126"/>
      <c r="AO16" s="98" t="s">
        <v>194</v>
      </c>
      <c r="AP16" s="126">
        <v>1</v>
      </c>
      <c r="AQ16" s="143">
        <v>1</v>
      </c>
      <c r="AR16" s="344">
        <v>9</v>
      </c>
      <c r="AS16" s="175">
        <v>1</v>
      </c>
      <c r="AT16" s="291">
        <v>1</v>
      </c>
      <c r="AU16" s="143"/>
      <c r="AV16" s="148">
        <v>1</v>
      </c>
      <c r="AW16" s="175"/>
      <c r="AX16" s="175"/>
      <c r="AY16" s="143"/>
      <c r="AZ16" s="175"/>
      <c r="BA16" s="143"/>
      <c r="BB16" s="134"/>
      <c r="BC16" s="175"/>
      <c r="BD16" s="143"/>
      <c r="BE16" s="175"/>
      <c r="BF16" s="143"/>
      <c r="BG16" s="181">
        <v>1</v>
      </c>
      <c r="BH16" s="98" t="s">
        <v>188</v>
      </c>
      <c r="BI16" s="143">
        <v>1</v>
      </c>
      <c r="BJ16" s="134">
        <v>4</v>
      </c>
      <c r="BK16" s="148"/>
      <c r="BL16" s="175"/>
      <c r="BM16" s="143">
        <v>3</v>
      </c>
      <c r="BN16" s="175"/>
      <c r="BO16" s="143">
        <v>3</v>
      </c>
      <c r="BP16" s="344">
        <v>7</v>
      </c>
      <c r="BQ16" s="148">
        <v>1</v>
      </c>
      <c r="BR16" s="127">
        <v>1</v>
      </c>
      <c r="BS16" s="126">
        <v>3</v>
      </c>
      <c r="BT16" s="175">
        <v>2</v>
      </c>
      <c r="BU16" s="148"/>
      <c r="BV16" s="126"/>
      <c r="BW16" s="255">
        <v>5</v>
      </c>
      <c r="BX16" s="127"/>
      <c r="BY16" s="143">
        <v>3</v>
      </c>
      <c r="BZ16" s="175"/>
      <c r="CA16" s="126">
        <v>2</v>
      </c>
      <c r="CB16" s="148"/>
      <c r="CC16" s="127"/>
      <c r="CD16" s="126"/>
      <c r="CE16" s="148"/>
      <c r="CF16" s="127"/>
      <c r="CG16" s="126"/>
      <c r="CH16" s="148"/>
      <c r="CI16" s="127"/>
      <c r="CJ16" s="126"/>
      <c r="CK16" s="414">
        <v>1</v>
      </c>
      <c r="CL16" s="73">
        <v>1</v>
      </c>
      <c r="CM16" s="126"/>
      <c r="CN16" s="126"/>
      <c r="CO16" s="414">
        <v>1</v>
      </c>
      <c r="CP16" s="636"/>
      <c r="CQ16" s="73"/>
      <c r="CR16" s="65"/>
    </row>
    <row r="17" spans="1:115" ht="36.6" customHeight="1" x14ac:dyDescent="0.5">
      <c r="A17" s="13" t="s">
        <v>34</v>
      </c>
      <c r="B17" s="3" t="s">
        <v>35</v>
      </c>
      <c r="C17" s="2">
        <v>1913</v>
      </c>
      <c r="D17" s="35" t="s">
        <v>7</v>
      </c>
      <c r="E17" s="249" t="s">
        <v>418</v>
      </c>
      <c r="F17" s="248">
        <v>35</v>
      </c>
      <c r="G17" s="298">
        <v>75</v>
      </c>
      <c r="H17" s="248">
        <v>57</v>
      </c>
      <c r="I17" s="74" t="s">
        <v>193</v>
      </c>
      <c r="J17" s="143">
        <v>2</v>
      </c>
      <c r="K17" s="148">
        <v>5</v>
      </c>
      <c r="L17" s="148">
        <v>1</v>
      </c>
      <c r="M17" s="175"/>
      <c r="N17" s="175"/>
      <c r="O17" s="175"/>
      <c r="P17" s="126">
        <v>7</v>
      </c>
      <c r="Q17" s="148"/>
      <c r="R17" s="148">
        <v>1</v>
      </c>
      <c r="S17" s="127"/>
      <c r="T17" s="366">
        <v>3</v>
      </c>
      <c r="U17" s="366">
        <v>6</v>
      </c>
      <c r="V17" s="291">
        <v>3</v>
      </c>
      <c r="W17" s="175"/>
      <c r="X17" s="127"/>
      <c r="Y17" s="143"/>
      <c r="Z17" s="175"/>
      <c r="AA17" s="293">
        <v>6</v>
      </c>
      <c r="AB17" s="127"/>
      <c r="AC17" s="126">
        <v>1</v>
      </c>
      <c r="AD17" s="126"/>
      <c r="AE17" s="126"/>
      <c r="AF17" s="175"/>
      <c r="AG17" s="126"/>
      <c r="AH17" s="73"/>
      <c r="AI17" s="126"/>
      <c r="AJ17" s="175"/>
      <c r="AK17" s="126"/>
      <c r="AL17" s="126"/>
      <c r="AM17" s="73"/>
      <c r="AN17" s="126"/>
      <c r="AO17" s="98" t="s">
        <v>190</v>
      </c>
      <c r="AP17" s="293">
        <v>53</v>
      </c>
      <c r="AQ17" s="143"/>
      <c r="AR17" s="175"/>
      <c r="AS17" s="175">
        <v>1</v>
      </c>
      <c r="AT17" s="148"/>
      <c r="AU17" s="412">
        <v>13</v>
      </c>
      <c r="AV17" s="148"/>
      <c r="AW17" s="175"/>
      <c r="AX17" s="175"/>
      <c r="AY17" s="412">
        <v>6</v>
      </c>
      <c r="AZ17" s="175"/>
      <c r="BA17" s="143">
        <v>1</v>
      </c>
      <c r="BB17" s="134"/>
      <c r="BC17" s="175"/>
      <c r="BD17" s="143"/>
      <c r="BE17" s="175"/>
      <c r="BF17" s="143">
        <v>1</v>
      </c>
      <c r="BG17" s="181"/>
      <c r="BH17" s="98" t="s">
        <v>197</v>
      </c>
      <c r="BI17" s="355">
        <v>9</v>
      </c>
      <c r="BJ17" s="633">
        <v>8</v>
      </c>
      <c r="BK17" s="148"/>
      <c r="BL17" s="175"/>
      <c r="BM17" s="143">
        <v>5</v>
      </c>
      <c r="BN17" s="175">
        <v>8</v>
      </c>
      <c r="BO17" s="143">
        <v>4</v>
      </c>
      <c r="BP17" s="366">
        <v>5</v>
      </c>
      <c r="BQ17" s="148">
        <v>2</v>
      </c>
      <c r="BR17" s="127">
        <v>1</v>
      </c>
      <c r="BS17" s="126">
        <v>1</v>
      </c>
      <c r="BT17" s="175">
        <v>1</v>
      </c>
      <c r="BU17" s="148"/>
      <c r="BV17" s="126">
        <v>1</v>
      </c>
      <c r="BW17" s="148">
        <v>2</v>
      </c>
      <c r="BX17" s="127"/>
      <c r="BY17" s="143">
        <v>1</v>
      </c>
      <c r="BZ17" s="175"/>
      <c r="CA17" s="126"/>
      <c r="CB17" s="148">
        <v>2</v>
      </c>
      <c r="CC17" s="127"/>
      <c r="CD17" s="126"/>
      <c r="CE17" s="148">
        <v>1</v>
      </c>
      <c r="CF17" s="127"/>
      <c r="CG17" s="126">
        <v>1</v>
      </c>
      <c r="CH17" s="148"/>
      <c r="CI17" s="414">
        <v>2</v>
      </c>
      <c r="CJ17" s="126">
        <v>1</v>
      </c>
      <c r="CK17" s="127"/>
      <c r="CL17" s="73"/>
      <c r="CM17" s="293">
        <v>2</v>
      </c>
      <c r="CN17" s="126"/>
      <c r="CO17" s="127"/>
      <c r="CP17" s="73"/>
      <c r="CQ17" s="73"/>
      <c r="CR17" s="65"/>
    </row>
    <row r="18" spans="1:115" s="30" customFormat="1" ht="44.4" customHeight="1" thickBot="1" x14ac:dyDescent="0.55000000000000004">
      <c r="A18" s="14" t="s">
        <v>36</v>
      </c>
      <c r="B18" s="15" t="s">
        <v>37</v>
      </c>
      <c r="C18" s="16">
        <v>1914</v>
      </c>
      <c r="D18" s="36" t="s">
        <v>15</v>
      </c>
      <c r="E18" s="247" t="s">
        <v>422</v>
      </c>
      <c r="F18" s="247">
        <v>11</v>
      </c>
      <c r="G18" s="250">
        <v>35</v>
      </c>
      <c r="H18" s="247">
        <v>30</v>
      </c>
      <c r="I18" s="81" t="s">
        <v>188</v>
      </c>
      <c r="J18" s="146">
        <v>1</v>
      </c>
      <c r="K18" s="149"/>
      <c r="L18" s="149"/>
      <c r="M18" s="177"/>
      <c r="N18" s="177"/>
      <c r="O18" s="177"/>
      <c r="P18" s="138">
        <v>4</v>
      </c>
      <c r="Q18" s="149"/>
      <c r="R18" s="149">
        <v>1</v>
      </c>
      <c r="S18" s="128"/>
      <c r="T18" s="177">
        <v>3</v>
      </c>
      <c r="U18" s="177">
        <v>1</v>
      </c>
      <c r="V18" s="149"/>
      <c r="W18" s="177"/>
      <c r="X18" s="128"/>
      <c r="Y18" s="146"/>
      <c r="Z18" s="177"/>
      <c r="AA18" s="138">
        <v>1</v>
      </c>
      <c r="AB18" s="128"/>
      <c r="AC18" s="138"/>
      <c r="AD18" s="138"/>
      <c r="AE18" s="138"/>
      <c r="AF18" s="177"/>
      <c r="AG18" s="138"/>
      <c r="AH18" s="139"/>
      <c r="AI18" s="138"/>
      <c r="AJ18" s="177"/>
      <c r="AK18" s="138"/>
      <c r="AL18" s="138"/>
      <c r="AM18" s="139"/>
      <c r="AN18" s="138"/>
      <c r="AO18" s="100" t="s">
        <v>191</v>
      </c>
      <c r="AP18" s="285">
        <v>22</v>
      </c>
      <c r="AQ18" s="146">
        <v>4</v>
      </c>
      <c r="AR18" s="177"/>
      <c r="AS18" s="177">
        <v>1</v>
      </c>
      <c r="AT18" s="149"/>
      <c r="AU18" s="146">
        <v>5</v>
      </c>
      <c r="AV18" s="149"/>
      <c r="AW18" s="177"/>
      <c r="AX18" s="177"/>
      <c r="AY18" s="146">
        <v>2</v>
      </c>
      <c r="AZ18" s="177"/>
      <c r="BA18" s="146"/>
      <c r="BB18" s="176"/>
      <c r="BC18" s="177"/>
      <c r="BD18" s="146"/>
      <c r="BE18" s="177">
        <v>1</v>
      </c>
      <c r="BF18" s="146"/>
      <c r="BG18" s="45"/>
      <c r="BH18" s="100" t="s">
        <v>191</v>
      </c>
      <c r="BI18" s="146">
        <v>5</v>
      </c>
      <c r="BJ18" s="176">
        <v>4</v>
      </c>
      <c r="BK18" s="149">
        <v>1</v>
      </c>
      <c r="BL18" s="177"/>
      <c r="BM18" s="410">
        <v>12</v>
      </c>
      <c r="BN18" s="177">
        <v>1</v>
      </c>
      <c r="BO18" s="146"/>
      <c r="BP18" s="177">
        <v>2</v>
      </c>
      <c r="BQ18" s="149"/>
      <c r="BR18" s="128"/>
      <c r="BS18" s="138"/>
      <c r="BT18" s="177"/>
      <c r="BU18" s="149"/>
      <c r="BV18" s="138">
        <v>2</v>
      </c>
      <c r="BW18" s="149">
        <v>1</v>
      </c>
      <c r="BX18" s="128"/>
      <c r="BY18" s="146">
        <v>1</v>
      </c>
      <c r="BZ18" s="177"/>
      <c r="CA18" s="138"/>
      <c r="CB18" s="149"/>
      <c r="CC18" s="128"/>
      <c r="CD18" s="138">
        <v>1</v>
      </c>
      <c r="CE18" s="149"/>
      <c r="CF18" s="128"/>
      <c r="CG18" s="138"/>
      <c r="CH18" s="149"/>
      <c r="CI18" s="128"/>
      <c r="CJ18" s="138"/>
      <c r="CK18" s="128"/>
      <c r="CL18" s="139"/>
      <c r="CM18" s="138"/>
      <c r="CN18" s="138"/>
      <c r="CO18" s="128"/>
      <c r="CP18" s="139"/>
      <c r="CQ18" s="139"/>
      <c r="CR18" s="65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</row>
    <row r="19" spans="1:115" s="69" customFormat="1" ht="39.6" customHeight="1" thickTop="1" thickBot="1" x14ac:dyDescent="0.35">
      <c r="A19" s="472"/>
      <c r="B19" s="473"/>
      <c r="C19" s="473"/>
      <c r="D19" s="474"/>
      <c r="E19" s="465" t="s">
        <v>479</v>
      </c>
      <c r="F19" s="431">
        <f t="shared" ref="F19:G19" si="0">SUM(F4:F18)</f>
        <v>411</v>
      </c>
      <c r="G19" s="431">
        <f t="shared" si="0"/>
        <v>303</v>
      </c>
      <c r="H19" s="431">
        <f t="shared" ref="H19" si="1">SUM(H4:H18)</f>
        <v>576</v>
      </c>
      <c r="I19" s="54" t="s">
        <v>116</v>
      </c>
      <c r="J19" s="58">
        <f t="shared" ref="J19:CC19" si="2">SUM(J4:J18)</f>
        <v>70</v>
      </c>
      <c r="K19" s="56">
        <f t="shared" si="2"/>
        <v>46</v>
      </c>
      <c r="L19" s="56">
        <f t="shared" si="2"/>
        <v>19</v>
      </c>
      <c r="M19" s="56">
        <f t="shared" si="2"/>
        <v>2</v>
      </c>
      <c r="N19" s="56">
        <f t="shared" si="2"/>
        <v>1</v>
      </c>
      <c r="O19" s="56">
        <f t="shared" si="2"/>
        <v>5</v>
      </c>
      <c r="P19" s="58">
        <f t="shared" ref="P19" si="3">SUM(P4:P18)</f>
        <v>88</v>
      </c>
      <c r="Q19" s="56">
        <f t="shared" si="2"/>
        <v>14</v>
      </c>
      <c r="R19" s="106">
        <f t="shared" ref="R19" si="4">SUM(R4:R18)</f>
        <v>8</v>
      </c>
      <c r="S19" s="57">
        <f t="shared" si="2"/>
        <v>4</v>
      </c>
      <c r="T19" s="56">
        <f t="shared" si="2"/>
        <v>23</v>
      </c>
      <c r="U19" s="56">
        <f>SUM(U4:U18)</f>
        <v>16</v>
      </c>
      <c r="V19" s="56">
        <f t="shared" ref="V19:AH19" si="5">SUM(V4:V18)</f>
        <v>13</v>
      </c>
      <c r="W19" s="56">
        <f>SUM(W4:W18)</f>
        <v>13</v>
      </c>
      <c r="X19" s="57">
        <f t="shared" si="5"/>
        <v>2</v>
      </c>
      <c r="Y19" s="58">
        <f t="shared" si="5"/>
        <v>26</v>
      </c>
      <c r="Z19" s="56">
        <f t="shared" si="5"/>
        <v>1</v>
      </c>
      <c r="AA19" s="422">
        <v>18</v>
      </c>
      <c r="AB19" s="57">
        <f>SUM(AB4:AB18)</f>
        <v>5</v>
      </c>
      <c r="AC19" s="464">
        <f t="shared" si="5"/>
        <v>15</v>
      </c>
      <c r="AD19" s="464">
        <f t="shared" si="5"/>
        <v>5</v>
      </c>
      <c r="AE19" s="58">
        <f t="shared" si="5"/>
        <v>2</v>
      </c>
      <c r="AF19" s="56">
        <f t="shared" si="5"/>
        <v>2</v>
      </c>
      <c r="AG19" s="464">
        <v>4</v>
      </c>
      <c r="AH19" s="431">
        <f t="shared" si="5"/>
        <v>3</v>
      </c>
      <c r="AI19" s="71">
        <v>1</v>
      </c>
      <c r="AJ19" s="105">
        <v>1</v>
      </c>
      <c r="AK19" s="464">
        <v>1</v>
      </c>
      <c r="AL19" s="464">
        <v>1</v>
      </c>
      <c r="AM19" s="431">
        <v>1</v>
      </c>
      <c r="AN19" s="464">
        <v>1</v>
      </c>
      <c r="AO19" s="54" t="s">
        <v>116</v>
      </c>
      <c r="AP19" s="431">
        <f>SUM(AP4:AP18)</f>
        <v>135</v>
      </c>
      <c r="AQ19" s="58">
        <f t="shared" ref="AQ19:BG19" si="6">SUM(AQ4:AQ18)</f>
        <v>31</v>
      </c>
      <c r="AR19" s="56">
        <f t="shared" ref="AR19" si="7">SUM(AR4:AR18)</f>
        <v>25</v>
      </c>
      <c r="AS19" s="56">
        <f t="shared" si="6"/>
        <v>8</v>
      </c>
      <c r="AT19" s="56">
        <f t="shared" si="6"/>
        <v>1</v>
      </c>
      <c r="AU19" s="58">
        <f t="shared" si="2"/>
        <v>42</v>
      </c>
      <c r="AV19" s="56">
        <f t="shared" si="6"/>
        <v>8</v>
      </c>
      <c r="AW19" s="56">
        <f t="shared" si="6"/>
        <v>1</v>
      </c>
      <c r="AX19" s="56">
        <f t="shared" si="6"/>
        <v>2</v>
      </c>
      <c r="AY19" s="58">
        <f t="shared" si="6"/>
        <v>20</v>
      </c>
      <c r="AZ19" s="56">
        <f t="shared" si="6"/>
        <v>3</v>
      </c>
      <c r="BA19" s="58">
        <f t="shared" si="6"/>
        <v>10</v>
      </c>
      <c r="BB19" s="56">
        <f t="shared" si="6"/>
        <v>1</v>
      </c>
      <c r="BC19" s="56">
        <f t="shared" si="6"/>
        <v>2</v>
      </c>
      <c r="BD19" s="58">
        <f t="shared" si="6"/>
        <v>4</v>
      </c>
      <c r="BE19" s="56">
        <f t="shared" si="6"/>
        <v>3</v>
      </c>
      <c r="BF19" s="58">
        <f t="shared" si="6"/>
        <v>6</v>
      </c>
      <c r="BG19" s="424">
        <f t="shared" si="6"/>
        <v>1</v>
      </c>
      <c r="BH19" s="54" t="s">
        <v>116</v>
      </c>
      <c r="BI19" s="58">
        <f t="shared" ref="BI19:BN19" si="8">SUM(BI4:BI18)</f>
        <v>62</v>
      </c>
      <c r="BJ19" s="56">
        <f t="shared" si="8"/>
        <v>44</v>
      </c>
      <c r="BK19" s="56">
        <f t="shared" si="8"/>
        <v>4</v>
      </c>
      <c r="BL19" s="56">
        <f t="shared" si="8"/>
        <v>7</v>
      </c>
      <c r="BM19" s="103">
        <f t="shared" si="8"/>
        <v>77</v>
      </c>
      <c r="BN19" s="104">
        <f t="shared" si="8"/>
        <v>39</v>
      </c>
      <c r="BO19" s="58">
        <f t="shared" ref="BO19:BQ19" si="9">SUM(BO4:BO18)</f>
        <v>43</v>
      </c>
      <c r="BP19" s="56">
        <f t="shared" si="9"/>
        <v>33</v>
      </c>
      <c r="BQ19" s="106">
        <f t="shared" si="9"/>
        <v>21</v>
      </c>
      <c r="BR19" s="57">
        <f t="shared" si="2"/>
        <v>9</v>
      </c>
      <c r="BS19" s="58">
        <f t="shared" ref="BS19" si="10">SUM(BS4:BS18)</f>
        <v>70</v>
      </c>
      <c r="BT19" s="56">
        <f>SUM(BT4:BT18)</f>
        <v>12</v>
      </c>
      <c r="BU19" s="106">
        <f>SUM(BU4:BU18)</f>
        <v>1</v>
      </c>
      <c r="BV19" s="58">
        <f>SUM(BV4:BV18)</f>
        <v>24</v>
      </c>
      <c r="BW19" s="106">
        <f>SUM(BW4:BW18)</f>
        <v>14</v>
      </c>
      <c r="BX19" s="57">
        <f>SUM(BX4:BX18)</f>
        <v>12</v>
      </c>
      <c r="BY19" s="58">
        <f t="shared" si="2"/>
        <v>31</v>
      </c>
      <c r="BZ19" s="56">
        <f t="shared" si="2"/>
        <v>2</v>
      </c>
      <c r="CA19" s="58">
        <f t="shared" ref="CA19:CB19" si="11">SUM(CA4:CA18)</f>
        <v>18</v>
      </c>
      <c r="CB19" s="56">
        <f t="shared" si="11"/>
        <v>5</v>
      </c>
      <c r="CC19" s="57">
        <f t="shared" si="2"/>
        <v>1</v>
      </c>
      <c r="CD19" s="58">
        <f t="shared" ref="CD19:CK19" si="12">SUM(CD4:CD18)</f>
        <v>10</v>
      </c>
      <c r="CE19" s="56">
        <f t="shared" si="12"/>
        <v>2</v>
      </c>
      <c r="CF19" s="57">
        <f t="shared" si="12"/>
        <v>2</v>
      </c>
      <c r="CG19" s="58">
        <f t="shared" si="12"/>
        <v>6</v>
      </c>
      <c r="CH19" s="56">
        <f t="shared" si="12"/>
        <v>1</v>
      </c>
      <c r="CI19" s="57">
        <f t="shared" si="12"/>
        <v>5</v>
      </c>
      <c r="CJ19" s="58">
        <f t="shared" si="12"/>
        <v>4</v>
      </c>
      <c r="CK19" s="57">
        <f t="shared" si="12"/>
        <v>1</v>
      </c>
      <c r="CL19" s="431">
        <f>SUM(CL4:CL18)</f>
        <v>8</v>
      </c>
      <c r="CM19" s="431">
        <v>3</v>
      </c>
      <c r="CN19" s="103">
        <v>1</v>
      </c>
      <c r="CO19" s="425">
        <v>2</v>
      </c>
      <c r="CP19" s="431">
        <v>1</v>
      </c>
      <c r="CQ19" s="431">
        <v>1</v>
      </c>
      <c r="CR19" s="65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</row>
    <row r="20" spans="1:115" s="68" customFormat="1" ht="50.4" customHeight="1" thickTop="1" thickBot="1" x14ac:dyDescent="0.35">
      <c r="A20" s="469"/>
      <c r="B20" s="470"/>
      <c r="C20" s="470"/>
      <c r="D20" s="471"/>
      <c r="E20" s="466"/>
      <c r="F20" s="432"/>
      <c r="G20" s="432"/>
      <c r="H20" s="432"/>
      <c r="I20" s="66" t="s">
        <v>115</v>
      </c>
      <c r="J20" s="428">
        <v>143</v>
      </c>
      <c r="K20" s="429"/>
      <c r="L20" s="429"/>
      <c r="M20" s="429"/>
      <c r="N20" s="429"/>
      <c r="O20" s="429"/>
      <c r="P20" s="428">
        <v>114</v>
      </c>
      <c r="Q20" s="429"/>
      <c r="R20" s="429"/>
      <c r="S20" s="430"/>
      <c r="T20" s="428">
        <v>67</v>
      </c>
      <c r="U20" s="429"/>
      <c r="V20" s="429"/>
      <c r="W20" s="429"/>
      <c r="X20" s="429"/>
      <c r="Y20" s="428">
        <v>27</v>
      </c>
      <c r="Z20" s="429"/>
      <c r="AA20" s="428">
        <v>23</v>
      </c>
      <c r="AB20" s="430"/>
      <c r="AC20" s="433"/>
      <c r="AD20" s="433"/>
      <c r="AE20" s="426">
        <v>4</v>
      </c>
      <c r="AF20" s="427"/>
      <c r="AG20" s="467"/>
      <c r="AH20" s="432"/>
      <c r="AI20" s="433">
        <v>2</v>
      </c>
      <c r="AJ20" s="468"/>
      <c r="AK20" s="433"/>
      <c r="AL20" s="433"/>
      <c r="AM20" s="432"/>
      <c r="AN20" s="433"/>
      <c r="AO20" s="66" t="s">
        <v>115</v>
      </c>
      <c r="AP20" s="432"/>
      <c r="AQ20" s="426">
        <v>65</v>
      </c>
      <c r="AR20" s="427"/>
      <c r="AS20" s="427"/>
      <c r="AT20" s="427"/>
      <c r="AU20" s="426">
        <v>53</v>
      </c>
      <c r="AV20" s="427"/>
      <c r="AW20" s="427"/>
      <c r="AX20" s="427"/>
      <c r="AY20" s="426">
        <v>23</v>
      </c>
      <c r="AZ20" s="427"/>
      <c r="BA20" s="426">
        <v>13</v>
      </c>
      <c r="BB20" s="427"/>
      <c r="BC20" s="427"/>
      <c r="BD20" s="426">
        <v>7</v>
      </c>
      <c r="BE20" s="427"/>
      <c r="BF20" s="433">
        <v>7</v>
      </c>
      <c r="BG20" s="434"/>
      <c r="BH20" s="66" t="s">
        <v>115</v>
      </c>
      <c r="BI20" s="428">
        <v>117</v>
      </c>
      <c r="BJ20" s="429"/>
      <c r="BK20" s="429"/>
      <c r="BL20" s="429"/>
      <c r="BM20" s="428">
        <v>116</v>
      </c>
      <c r="BN20" s="429"/>
      <c r="BO20" s="428">
        <v>106</v>
      </c>
      <c r="BP20" s="429"/>
      <c r="BQ20" s="429"/>
      <c r="BR20" s="430"/>
      <c r="BS20" s="428">
        <v>83</v>
      </c>
      <c r="BT20" s="429"/>
      <c r="BU20" s="429"/>
      <c r="BV20" s="428">
        <v>50</v>
      </c>
      <c r="BW20" s="429"/>
      <c r="BX20" s="430"/>
      <c r="BY20" s="428">
        <v>33</v>
      </c>
      <c r="BZ20" s="429"/>
      <c r="CA20" s="428">
        <v>24</v>
      </c>
      <c r="CB20" s="429"/>
      <c r="CC20" s="430"/>
      <c r="CD20" s="433">
        <v>14</v>
      </c>
      <c r="CE20" s="468"/>
      <c r="CF20" s="434"/>
      <c r="CG20" s="433">
        <v>12</v>
      </c>
      <c r="CH20" s="468"/>
      <c r="CI20" s="434"/>
      <c r="CJ20" s="426">
        <v>5</v>
      </c>
      <c r="CK20" s="435"/>
      <c r="CL20" s="432"/>
      <c r="CM20" s="432"/>
      <c r="CN20" s="426">
        <v>3</v>
      </c>
      <c r="CO20" s="435"/>
      <c r="CP20" s="432"/>
      <c r="CQ20" s="432"/>
      <c r="CR20" s="70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</row>
    <row r="21" spans="1:115" ht="15" thickTop="1" x14ac:dyDescent="0.3"/>
  </sheetData>
  <mergeCells count="96">
    <mergeCell ref="A20:D20"/>
    <mergeCell ref="A19:D19"/>
    <mergeCell ref="Y20:Z20"/>
    <mergeCell ref="AA20:AB20"/>
    <mergeCell ref="E1:H1"/>
    <mergeCell ref="E2:E3"/>
    <mergeCell ref="F2:F3"/>
    <mergeCell ref="G2:G3"/>
    <mergeCell ref="F19:F20"/>
    <mergeCell ref="G19:G20"/>
    <mergeCell ref="H2:H3"/>
    <mergeCell ref="H19:H20"/>
    <mergeCell ref="AI2:AJ2"/>
    <mergeCell ref="AI20:AJ20"/>
    <mergeCell ref="AA2:AB2"/>
    <mergeCell ref="AE20:AF20"/>
    <mergeCell ref="AC19:AC20"/>
    <mergeCell ref="AD19:AD20"/>
    <mergeCell ref="AH19:AH20"/>
    <mergeCell ref="Y2:Z2"/>
    <mergeCell ref="E19:E20"/>
    <mergeCell ref="T20:X20"/>
    <mergeCell ref="T2:X2"/>
    <mergeCell ref="AG2:AG3"/>
    <mergeCell ref="J20:O20"/>
    <mergeCell ref="P20:S20"/>
    <mergeCell ref="AG19:AG20"/>
    <mergeCell ref="AE2:AF2"/>
    <mergeCell ref="AP19:AP20"/>
    <mergeCell ref="AK2:AK3"/>
    <mergeCell ref="AQ2:AT2"/>
    <mergeCell ref="AU2:AX2"/>
    <mergeCell ref="AY2:AZ2"/>
    <mergeCell ref="AN2:AN3"/>
    <mergeCell ref="AQ20:AT20"/>
    <mergeCell ref="AU20:AX20"/>
    <mergeCell ref="AY20:AZ20"/>
    <mergeCell ref="BA20:BC20"/>
    <mergeCell ref="BD2:BE2"/>
    <mergeCell ref="BA2:BC2"/>
    <mergeCell ref="AK19:AK20"/>
    <mergeCell ref="AN19:AN20"/>
    <mergeCell ref="AL19:AL20"/>
    <mergeCell ref="AL2:AL3"/>
    <mergeCell ref="AM2:AM3"/>
    <mergeCell ref="AM19:AM20"/>
    <mergeCell ref="J1:AN1"/>
    <mergeCell ref="A2:A3"/>
    <mergeCell ref="CA2:CC2"/>
    <mergeCell ref="P2:S2"/>
    <mergeCell ref="BY2:BZ2"/>
    <mergeCell ref="B2:B3"/>
    <mergeCell ref="C2:C3"/>
    <mergeCell ref="D2:D3"/>
    <mergeCell ref="A1:D1"/>
    <mergeCell ref="I1:I3"/>
    <mergeCell ref="AC2:AC3"/>
    <mergeCell ref="AD2:AD3"/>
    <mergeCell ref="J2:O2"/>
    <mergeCell ref="AO1:AO3"/>
    <mergeCell ref="AH2:AH3"/>
    <mergeCell ref="AP2:AP3"/>
    <mergeCell ref="AP1:BG1"/>
    <mergeCell ref="BF2:BG2"/>
    <mergeCell ref="BI1:CQ1"/>
    <mergeCell ref="BV2:BX2"/>
    <mergeCell ref="CN2:CO2"/>
    <mergeCell ref="BM2:BN2"/>
    <mergeCell ref="BS2:BU2"/>
    <mergeCell ref="CP2:CP3"/>
    <mergeCell ref="CL2:CL3"/>
    <mergeCell ref="BI2:BL2"/>
    <mergeCell ref="CD2:CF2"/>
    <mergeCell ref="CJ2:CK2"/>
    <mergeCell ref="CG2:CI2"/>
    <mergeCell ref="CN20:CO20"/>
    <mergeCell ref="BO2:BR2"/>
    <mergeCell ref="CM2:CM3"/>
    <mergeCell ref="BH1:BH3"/>
    <mergeCell ref="CQ2:CQ3"/>
    <mergeCell ref="BS20:BU20"/>
    <mergeCell ref="CG20:CI20"/>
    <mergeCell ref="CP19:CP20"/>
    <mergeCell ref="BI20:BL20"/>
    <mergeCell ref="CD20:CF20"/>
    <mergeCell ref="CJ20:CK20"/>
    <mergeCell ref="BY20:BZ20"/>
    <mergeCell ref="CQ19:CQ20"/>
    <mergeCell ref="BD20:BE20"/>
    <mergeCell ref="BM20:BN20"/>
    <mergeCell ref="BO20:BR20"/>
    <mergeCell ref="CL19:CL20"/>
    <mergeCell ref="CM19:CM20"/>
    <mergeCell ref="CA20:CC20"/>
    <mergeCell ref="BF20:BG20"/>
    <mergeCell ref="BV20:BX20"/>
  </mergeCells>
  <conditionalFormatting sqref="A4:A10 A13 A15:A18">
    <cfRule type="colorScale" priority="4">
      <colorScale>
        <cfvo type="min"/>
        <cfvo type="max"/>
        <color rgb="FF63BE7B"/>
        <color rgb="FFFCFCFF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{090F01E8-EF48-4634-B506-036707420831}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{CEEEC047-240F-4AFF-BA99-52CEBBBEC29E}</x14:id>
        </ext>
      </extLst>
    </cfRule>
  </conditionalFormatting>
  <hyperlinks>
    <hyperlink ref="D18" r:id="rId1" display="https://archive.org/details/throughspainreco00dickrich/page/n13/mode/2up" xr:uid="{F39F816C-1DBD-4F88-8627-F25723F384BB}"/>
    <hyperlink ref="D17" r:id="rId2" display="https://www.gutenberg.org/ebooks/7430" xr:uid="{F80FE10B-C224-4FCA-9534-49175441D995}"/>
    <hyperlink ref="D16" r:id="rId3" display="https://www.gutenberg.org/ebooks/40201" xr:uid="{DA1F280C-3303-4348-8BAB-165CAF2F0092}"/>
    <hyperlink ref="D10" r:id="rId4" display="https://archive.org/details/sunshadowinspain00elliuoft" xr:uid="{7BFDDF34-933C-4895-8A3A-9F39D6980C15}"/>
    <hyperlink ref="D8" r:id="rId5" display="https://www.gutenberg.org/ebooks/27252" xr:uid="{1E6AF73C-AF1C-4CE9-82F0-B15638CE1C43}"/>
    <hyperlink ref="D7" r:id="rId6" display="https://archive.org/details/atrampinspain00unkngoog/page/n8/mode/2up" xr:uid="{90755801-2E36-462F-96BC-E400465D6DAE}"/>
    <hyperlink ref="D6" r:id="rId7" display="https://www.gutenberg.org/ebooks/59944" xr:uid="{CD15B7D8-4848-4CF2-8549-9DD579A4468A}"/>
    <hyperlink ref="D4" r:id="rId8" display="https://www.gutenberg.org/ebooks/38767" xr:uid="{68822EA0-91B1-4B9E-8C11-FD9C926EDCF4}"/>
    <hyperlink ref="D9" r:id="rId9" display="https://www.gutenberg.org/ebooks/37944" xr:uid="{66C04CD1-3D6B-462E-A17D-968D422369DC}"/>
    <hyperlink ref="D13" r:id="rId10" display="https://www.gutenberg.org/ebooks/41593" xr:uid="{87C69B8A-DAD5-417C-AF06-07F47EE1F6F8}"/>
    <hyperlink ref="D5" r:id="rId11" display="https://archive.org/details/landofdons00will/page/n19/mode/2up" xr:uid="{4799C196-721B-47AF-A0CB-E91B2280ECA3}"/>
    <hyperlink ref="D15" r:id="rId12" display="https://www.gutenberg.org/ebooks/40357" xr:uid="{6F81DED8-5AB7-4EE2-B09B-94A2FBA4FD52}"/>
    <hyperlink ref="D14" r:id="rId13" display="https://www.gutenberg.org/ebooks/author/39917" xr:uid="{D06C5E66-E3B1-47C4-A5DF-EC2D527844FD}"/>
    <hyperlink ref="D12" r:id="rId14" display="https://www.gutenberg.org/ebooks/40356" xr:uid="{B6F2A758-0648-4EA9-907F-16C56752DDA4}"/>
    <hyperlink ref="D11" r:id="rId15" display="https://archive.org/details/spainoftodaynarr00shaw/page/n11/mode/2up" xr:uid="{E6C0D022-218D-484A-B79A-8AADAD6289D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0F01E8-EF48-4634-B506-036707420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CEEEC047-240F-4AFF-BA99-52CEBBBEC2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2480-867A-4A44-9416-26AB46FCFEB5}">
  <sheetPr>
    <tabColor theme="8"/>
  </sheetPr>
  <dimension ref="A1:Y21"/>
  <sheetViews>
    <sheetView topLeftCell="E1" zoomScale="50" zoomScaleNormal="50" workbookViewId="0">
      <selection activeCell="F19" sqref="F19:F20"/>
    </sheetView>
  </sheetViews>
  <sheetFormatPr baseColWidth="10" defaultRowHeight="14.4" x14ac:dyDescent="0.3"/>
  <cols>
    <col min="1" max="1" width="83.77734375" customWidth="1"/>
    <col min="2" max="2" width="51.88671875" customWidth="1"/>
    <col min="4" max="4" width="34.44140625" customWidth="1"/>
    <col min="5" max="5" width="37.33203125" customWidth="1"/>
    <col min="6" max="6" width="24.44140625" customWidth="1"/>
    <col min="8" max="8" width="15.109375" customWidth="1"/>
    <col min="10" max="10" width="17.5546875" customWidth="1"/>
    <col min="11" max="11" width="17.33203125" customWidth="1"/>
    <col min="12" max="12" width="21.109375" customWidth="1"/>
    <col min="13" max="13" width="20.21875" customWidth="1"/>
    <col min="14" max="14" width="22.44140625" customWidth="1"/>
    <col min="15" max="15" width="21.33203125" customWidth="1"/>
    <col min="16" max="16" width="24" customWidth="1"/>
    <col min="17" max="17" width="23.109375" customWidth="1"/>
    <col min="18" max="18" width="16.6640625" customWidth="1"/>
    <col min="20" max="20" width="18.6640625" customWidth="1"/>
    <col min="23" max="23" width="17.109375" customWidth="1"/>
    <col min="24" max="24" width="16.88671875" customWidth="1"/>
  </cols>
  <sheetData>
    <row r="1" spans="1:25" ht="51.6" customHeight="1" thickBot="1" x14ac:dyDescent="0.35">
      <c r="A1" s="614" t="s">
        <v>0</v>
      </c>
      <c r="B1" s="615"/>
      <c r="C1" s="615"/>
      <c r="D1" s="615"/>
      <c r="E1" s="441" t="s">
        <v>192</v>
      </c>
      <c r="F1" s="595" t="s">
        <v>452</v>
      </c>
      <c r="G1" s="601"/>
      <c r="H1" s="601"/>
      <c r="I1" s="601"/>
      <c r="J1" s="601"/>
      <c r="K1" s="596"/>
      <c r="L1" s="595" t="s">
        <v>453</v>
      </c>
      <c r="M1" s="601"/>
      <c r="N1" s="368" t="s">
        <v>454</v>
      </c>
      <c r="O1" s="368" t="s">
        <v>455</v>
      </c>
      <c r="P1" s="368" t="s">
        <v>454</v>
      </c>
      <c r="Q1" s="368" t="s">
        <v>455</v>
      </c>
      <c r="R1" s="595" t="s">
        <v>453</v>
      </c>
      <c r="S1" s="601"/>
      <c r="T1" s="601"/>
      <c r="U1" s="595" t="s">
        <v>454</v>
      </c>
      <c r="V1" s="601"/>
      <c r="W1" s="595" t="s">
        <v>455</v>
      </c>
      <c r="X1" s="596"/>
      <c r="Y1" s="65"/>
    </row>
    <row r="2" spans="1:25" ht="42.6" customHeight="1" thickTop="1" x14ac:dyDescent="0.3">
      <c r="A2" s="567" t="s">
        <v>1</v>
      </c>
      <c r="B2" s="569" t="s">
        <v>2</v>
      </c>
      <c r="C2" s="569" t="s">
        <v>3</v>
      </c>
      <c r="D2" s="616" t="s">
        <v>4</v>
      </c>
      <c r="E2" s="586"/>
      <c r="F2" s="533" t="s">
        <v>295</v>
      </c>
      <c r="G2" s="606" t="s">
        <v>257</v>
      </c>
      <c r="H2" s="536"/>
      <c r="I2" s="606" t="s">
        <v>258</v>
      </c>
      <c r="J2" s="536"/>
      <c r="K2" s="607" t="s">
        <v>324</v>
      </c>
      <c r="L2" s="439" t="s">
        <v>241</v>
      </c>
      <c r="M2" s="597" t="s">
        <v>242</v>
      </c>
      <c r="N2" s="439" t="s">
        <v>273</v>
      </c>
      <c r="O2" s="533" t="s">
        <v>296</v>
      </c>
      <c r="P2" s="439" t="s">
        <v>274</v>
      </c>
      <c r="Q2" s="533" t="s">
        <v>298</v>
      </c>
      <c r="R2" s="439" t="s">
        <v>243</v>
      </c>
      <c r="S2" s="602" t="s">
        <v>244</v>
      </c>
      <c r="T2" s="597" t="s">
        <v>245</v>
      </c>
      <c r="U2" s="436" t="s">
        <v>275</v>
      </c>
      <c r="V2" s="438"/>
      <c r="W2" s="535" t="s">
        <v>259</v>
      </c>
      <c r="X2" s="536"/>
      <c r="Y2" s="65"/>
    </row>
    <row r="3" spans="1:25" ht="49.8" customHeight="1" thickBot="1" x14ac:dyDescent="0.35">
      <c r="A3" s="568"/>
      <c r="B3" s="570"/>
      <c r="C3" s="570"/>
      <c r="D3" s="617"/>
      <c r="E3" s="587"/>
      <c r="F3" s="534"/>
      <c r="G3" s="370" t="s">
        <v>59</v>
      </c>
      <c r="H3" s="42" t="s">
        <v>40</v>
      </c>
      <c r="I3" s="377" t="s">
        <v>101</v>
      </c>
      <c r="J3" s="42" t="s">
        <v>39</v>
      </c>
      <c r="K3" s="608"/>
      <c r="L3" s="440"/>
      <c r="M3" s="598"/>
      <c r="N3" s="440"/>
      <c r="O3" s="534"/>
      <c r="P3" s="440"/>
      <c r="Q3" s="534"/>
      <c r="R3" s="440"/>
      <c r="S3" s="603"/>
      <c r="T3" s="598"/>
      <c r="U3" s="85" t="s">
        <v>122</v>
      </c>
      <c r="V3" s="87" t="s">
        <v>117</v>
      </c>
      <c r="W3" s="41" t="s">
        <v>436</v>
      </c>
      <c r="X3" s="42" t="s">
        <v>114</v>
      </c>
      <c r="Y3" s="65"/>
    </row>
    <row r="4" spans="1:25" ht="40.200000000000003" customHeight="1" thickTop="1" x14ac:dyDescent="0.5">
      <c r="A4" s="9" t="s">
        <v>5</v>
      </c>
      <c r="B4" s="10" t="s">
        <v>6</v>
      </c>
      <c r="C4" s="11">
        <v>1900</v>
      </c>
      <c r="D4" s="12" t="s">
        <v>7</v>
      </c>
      <c r="E4" s="97"/>
      <c r="F4" s="369">
        <v>31</v>
      </c>
      <c r="G4" s="371">
        <v>8</v>
      </c>
      <c r="H4" s="174"/>
      <c r="I4" s="371">
        <v>3</v>
      </c>
      <c r="J4" s="174"/>
      <c r="K4" s="382">
        <v>7</v>
      </c>
      <c r="L4" s="336">
        <v>9</v>
      </c>
      <c r="M4" s="387">
        <v>4</v>
      </c>
      <c r="N4" s="336">
        <v>6</v>
      </c>
      <c r="O4" s="129">
        <v>2</v>
      </c>
      <c r="P4" s="336">
        <v>3</v>
      </c>
      <c r="Q4" s="129">
        <v>1</v>
      </c>
      <c r="R4" s="192">
        <v>1</v>
      </c>
      <c r="S4" s="394">
        <v>2</v>
      </c>
      <c r="T4" s="387"/>
      <c r="U4" s="192"/>
      <c r="V4" s="302">
        <v>5</v>
      </c>
      <c r="W4" s="129">
        <v>2</v>
      </c>
      <c r="X4" s="174"/>
      <c r="Y4" s="65"/>
    </row>
    <row r="5" spans="1:25" ht="38.4" customHeight="1" x14ac:dyDescent="0.5">
      <c r="A5" s="13" t="s">
        <v>8</v>
      </c>
      <c r="B5" s="3" t="s">
        <v>9</v>
      </c>
      <c r="C5" s="2">
        <v>1902</v>
      </c>
      <c r="D5" s="5" t="s">
        <v>10</v>
      </c>
      <c r="E5" s="98" t="s">
        <v>191</v>
      </c>
      <c r="F5" s="126"/>
      <c r="G5" s="372">
        <v>1</v>
      </c>
      <c r="H5" s="175"/>
      <c r="I5" s="372">
        <v>2</v>
      </c>
      <c r="J5" s="175"/>
      <c r="K5" s="383">
        <v>1</v>
      </c>
      <c r="L5" s="200"/>
      <c r="M5" s="388"/>
      <c r="N5" s="200"/>
      <c r="O5" s="126"/>
      <c r="P5" s="200"/>
      <c r="Q5" s="126"/>
      <c r="R5" s="200"/>
      <c r="S5" s="395"/>
      <c r="T5" s="388"/>
      <c r="U5" s="200"/>
      <c r="V5" s="198"/>
      <c r="W5" s="126"/>
      <c r="X5" s="175"/>
      <c r="Y5" s="65"/>
    </row>
    <row r="6" spans="1:25" ht="42" customHeight="1" x14ac:dyDescent="0.5">
      <c r="A6" s="13" t="s">
        <v>11</v>
      </c>
      <c r="B6" s="3" t="s">
        <v>12</v>
      </c>
      <c r="C6" s="2">
        <v>1903</v>
      </c>
      <c r="D6" s="4" t="s">
        <v>7</v>
      </c>
      <c r="E6" s="98" t="s">
        <v>197</v>
      </c>
      <c r="F6" s="126">
        <v>27</v>
      </c>
      <c r="G6" s="372">
        <v>9</v>
      </c>
      <c r="H6" s="175">
        <v>1</v>
      </c>
      <c r="I6" s="372"/>
      <c r="J6" s="366">
        <v>5</v>
      </c>
      <c r="K6" s="383">
        <v>2</v>
      </c>
      <c r="L6" s="200"/>
      <c r="M6" s="388">
        <v>4</v>
      </c>
      <c r="N6" s="200">
        <v>1</v>
      </c>
      <c r="O6" s="126">
        <v>2</v>
      </c>
      <c r="P6" s="200"/>
      <c r="Q6" s="126">
        <v>1</v>
      </c>
      <c r="R6" s="200">
        <v>3</v>
      </c>
      <c r="S6" s="395">
        <v>3</v>
      </c>
      <c r="T6" s="388"/>
      <c r="U6" s="200">
        <v>2</v>
      </c>
      <c r="V6" s="198"/>
      <c r="W6" s="126"/>
      <c r="X6" s="175">
        <v>1</v>
      </c>
      <c r="Y6" s="65"/>
    </row>
    <row r="7" spans="1:25" ht="40.200000000000003" customHeight="1" x14ac:dyDescent="0.5">
      <c r="A7" s="13" t="s">
        <v>13</v>
      </c>
      <c r="B7" s="3" t="s">
        <v>14</v>
      </c>
      <c r="C7" s="2">
        <v>1904</v>
      </c>
      <c r="D7" s="4" t="s">
        <v>15</v>
      </c>
      <c r="E7" s="98" t="s">
        <v>189</v>
      </c>
      <c r="F7" s="126">
        <v>21</v>
      </c>
      <c r="G7" s="372"/>
      <c r="H7" s="175"/>
      <c r="I7" s="372"/>
      <c r="J7" s="175"/>
      <c r="K7" s="383"/>
      <c r="L7" s="200">
        <v>2</v>
      </c>
      <c r="M7" s="389">
        <v>5</v>
      </c>
      <c r="N7" s="200">
        <v>2</v>
      </c>
      <c r="O7" s="126"/>
      <c r="P7" s="200">
        <v>1</v>
      </c>
      <c r="Q7" s="126"/>
      <c r="R7" s="200"/>
      <c r="S7" s="395"/>
      <c r="T7" s="388"/>
      <c r="U7" s="200"/>
      <c r="V7" s="198"/>
      <c r="W7" s="126"/>
      <c r="X7" s="175"/>
      <c r="Y7" s="65"/>
    </row>
    <row r="8" spans="1:25" ht="31.8" thickBot="1" x14ac:dyDescent="0.55000000000000004">
      <c r="A8" s="14" t="s">
        <v>16</v>
      </c>
      <c r="B8" s="15" t="s">
        <v>17</v>
      </c>
      <c r="C8" s="16">
        <v>1905</v>
      </c>
      <c r="D8" s="17" t="s">
        <v>7</v>
      </c>
      <c r="E8" s="99" t="s">
        <v>197</v>
      </c>
      <c r="F8" s="138">
        <v>15</v>
      </c>
      <c r="G8" s="373">
        <v>12</v>
      </c>
      <c r="H8" s="177"/>
      <c r="I8" s="378">
        <v>5</v>
      </c>
      <c r="J8" s="177"/>
      <c r="K8" s="384">
        <v>8</v>
      </c>
      <c r="L8" s="348">
        <v>9</v>
      </c>
      <c r="M8" s="390">
        <v>3</v>
      </c>
      <c r="N8" s="363">
        <v>10</v>
      </c>
      <c r="O8" s="138">
        <v>2</v>
      </c>
      <c r="P8" s="207">
        <v>1</v>
      </c>
      <c r="Q8" s="138"/>
      <c r="R8" s="207"/>
      <c r="S8" s="396">
        <v>1</v>
      </c>
      <c r="T8" s="390"/>
      <c r="U8" s="207"/>
      <c r="V8" s="26"/>
      <c r="W8" s="295">
        <v>3</v>
      </c>
      <c r="X8" s="364"/>
      <c r="Y8" s="65"/>
    </row>
    <row r="9" spans="1:25" ht="36.6" customHeight="1" thickTop="1" x14ac:dyDescent="0.5">
      <c r="A9" s="6" t="s">
        <v>11</v>
      </c>
      <c r="B9" s="7" t="s">
        <v>18</v>
      </c>
      <c r="C9" s="6">
        <v>1908</v>
      </c>
      <c r="D9" s="8" t="s">
        <v>7</v>
      </c>
      <c r="E9" s="97"/>
      <c r="F9" s="254">
        <v>40</v>
      </c>
      <c r="G9" s="374">
        <v>21</v>
      </c>
      <c r="H9" s="365">
        <v>8</v>
      </c>
      <c r="I9" s="374">
        <v>25</v>
      </c>
      <c r="J9" s="174"/>
      <c r="K9" s="385">
        <v>15</v>
      </c>
      <c r="L9" s="360">
        <v>14</v>
      </c>
      <c r="M9" s="391">
        <v>5</v>
      </c>
      <c r="N9" s="352">
        <v>4</v>
      </c>
      <c r="O9" s="288">
        <v>9</v>
      </c>
      <c r="P9" s="352">
        <v>4</v>
      </c>
      <c r="Q9" s="254">
        <v>6</v>
      </c>
      <c r="R9" s="215">
        <v>1</v>
      </c>
      <c r="S9" s="397">
        <v>7</v>
      </c>
      <c r="T9" s="400"/>
      <c r="U9" s="215"/>
      <c r="V9" s="303">
        <v>5</v>
      </c>
      <c r="W9" s="294"/>
      <c r="X9" s="365">
        <v>6</v>
      </c>
      <c r="Y9" s="65"/>
    </row>
    <row r="10" spans="1:25" ht="40.799999999999997" customHeight="1" x14ac:dyDescent="0.5">
      <c r="A10" s="2" t="s">
        <v>19</v>
      </c>
      <c r="B10" s="3" t="s">
        <v>20</v>
      </c>
      <c r="C10" s="2">
        <v>1908</v>
      </c>
      <c r="D10" s="4" t="s">
        <v>15</v>
      </c>
      <c r="E10" s="98" t="s">
        <v>186</v>
      </c>
      <c r="F10" s="126">
        <v>6</v>
      </c>
      <c r="G10" s="375">
        <v>16</v>
      </c>
      <c r="H10" s="175"/>
      <c r="I10" s="372">
        <v>3</v>
      </c>
      <c r="J10" s="175"/>
      <c r="K10" s="386">
        <v>13</v>
      </c>
      <c r="L10" s="200">
        <v>7</v>
      </c>
      <c r="M10" s="388"/>
      <c r="N10" s="200">
        <v>1</v>
      </c>
      <c r="O10" s="126">
        <v>1</v>
      </c>
      <c r="P10" s="200">
        <v>1</v>
      </c>
      <c r="Q10" s="293">
        <v>10</v>
      </c>
      <c r="R10" s="200"/>
      <c r="S10" s="395"/>
      <c r="T10" s="388"/>
      <c r="U10" s="200"/>
      <c r="V10" s="198">
        <v>2</v>
      </c>
      <c r="W10" s="126"/>
      <c r="X10" s="175"/>
      <c r="Y10" s="65"/>
    </row>
    <row r="11" spans="1:25" ht="31.2" customHeight="1" x14ac:dyDescent="0.5">
      <c r="A11" s="2" t="s">
        <v>21</v>
      </c>
      <c r="B11" s="3" t="s">
        <v>22</v>
      </c>
      <c r="C11" s="2">
        <v>1909</v>
      </c>
      <c r="D11" s="4" t="s">
        <v>7</v>
      </c>
      <c r="E11" s="98" t="s">
        <v>194</v>
      </c>
      <c r="F11" s="126">
        <v>13</v>
      </c>
      <c r="G11" s="372">
        <v>5</v>
      </c>
      <c r="H11" s="366">
        <v>6</v>
      </c>
      <c r="I11" s="372"/>
      <c r="J11" s="175"/>
      <c r="K11" s="383">
        <v>6</v>
      </c>
      <c r="L11" s="200"/>
      <c r="M11" s="388"/>
      <c r="N11" s="200"/>
      <c r="O11" s="126"/>
      <c r="P11" s="200">
        <v>1</v>
      </c>
      <c r="Q11" s="126">
        <v>1</v>
      </c>
      <c r="R11" s="200"/>
      <c r="S11" s="395">
        <v>1</v>
      </c>
      <c r="T11" s="388"/>
      <c r="U11" s="200"/>
      <c r="V11" s="198">
        <v>3</v>
      </c>
      <c r="W11" s="126"/>
      <c r="X11" s="175"/>
      <c r="Y11" s="65"/>
    </row>
    <row r="12" spans="1:25" ht="31.2" x14ac:dyDescent="0.5">
      <c r="A12" s="2" t="s">
        <v>23</v>
      </c>
      <c r="B12" s="3" t="s">
        <v>24</v>
      </c>
      <c r="C12" s="2">
        <v>1909</v>
      </c>
      <c r="D12" s="4" t="s">
        <v>15</v>
      </c>
      <c r="E12" s="98" t="s">
        <v>197</v>
      </c>
      <c r="F12" s="126">
        <v>19</v>
      </c>
      <c r="G12" s="372">
        <v>11</v>
      </c>
      <c r="H12" s="366">
        <v>6</v>
      </c>
      <c r="I12" s="372"/>
      <c r="J12" s="344">
        <v>8</v>
      </c>
      <c r="K12" s="383">
        <v>3</v>
      </c>
      <c r="L12" s="200"/>
      <c r="M12" s="388">
        <v>3</v>
      </c>
      <c r="N12" s="200"/>
      <c r="O12" s="126">
        <v>1</v>
      </c>
      <c r="P12" s="200">
        <v>3</v>
      </c>
      <c r="Q12" s="126">
        <v>3</v>
      </c>
      <c r="R12" s="200"/>
      <c r="S12" s="398">
        <v>6</v>
      </c>
      <c r="T12" s="388"/>
      <c r="U12" s="200"/>
      <c r="V12" s="301">
        <v>4</v>
      </c>
      <c r="W12" s="126"/>
      <c r="X12" s="366">
        <v>2</v>
      </c>
      <c r="Y12" s="65"/>
    </row>
    <row r="13" spans="1:25" ht="25.8" x14ac:dyDescent="0.5">
      <c r="A13" s="2" t="s">
        <v>25</v>
      </c>
      <c r="B13" s="3" t="s">
        <v>26</v>
      </c>
      <c r="C13" s="2">
        <v>1910</v>
      </c>
      <c r="D13" s="4" t="s">
        <v>7</v>
      </c>
      <c r="E13" s="98" t="s">
        <v>186</v>
      </c>
      <c r="F13" s="126">
        <v>2</v>
      </c>
      <c r="G13" s="372"/>
      <c r="H13" s="175"/>
      <c r="I13" s="372"/>
      <c r="J13" s="175"/>
      <c r="K13" s="383"/>
      <c r="L13" s="200">
        <v>6</v>
      </c>
      <c r="M13" s="392">
        <v>15</v>
      </c>
      <c r="N13" s="200"/>
      <c r="O13" s="126">
        <v>1</v>
      </c>
      <c r="P13" s="200">
        <v>1</v>
      </c>
      <c r="Q13" s="126"/>
      <c r="R13" s="340">
        <v>18</v>
      </c>
      <c r="S13" s="395">
        <v>3</v>
      </c>
      <c r="T13" s="392">
        <v>25</v>
      </c>
      <c r="U13" s="200"/>
      <c r="V13" s="198"/>
      <c r="W13" s="126"/>
      <c r="X13" s="175"/>
      <c r="Y13" s="65"/>
    </row>
    <row r="14" spans="1:25" ht="37.799999999999997" customHeight="1" thickBot="1" x14ac:dyDescent="0.55000000000000004">
      <c r="A14" s="21" t="s">
        <v>27</v>
      </c>
      <c r="B14" s="19" t="s">
        <v>28</v>
      </c>
      <c r="C14" s="18">
        <v>1910</v>
      </c>
      <c r="D14" s="20" t="s">
        <v>29</v>
      </c>
      <c r="E14" s="99" t="s">
        <v>187</v>
      </c>
      <c r="F14" s="138">
        <v>12</v>
      </c>
      <c r="G14" s="373">
        <v>5</v>
      </c>
      <c r="H14" s="177">
        <v>3</v>
      </c>
      <c r="I14" s="373"/>
      <c r="J14" s="380">
        <v>8</v>
      </c>
      <c r="K14" s="384">
        <v>4</v>
      </c>
      <c r="L14" s="218"/>
      <c r="M14" s="393">
        <v>1</v>
      </c>
      <c r="N14" s="218">
        <v>3</v>
      </c>
      <c r="O14" s="138">
        <v>2</v>
      </c>
      <c r="P14" s="218">
        <v>2</v>
      </c>
      <c r="Q14" s="285">
        <v>3</v>
      </c>
      <c r="R14" s="218"/>
      <c r="S14" s="399">
        <v>2</v>
      </c>
      <c r="T14" s="393"/>
      <c r="U14" s="218"/>
      <c r="V14" s="27">
        <v>1</v>
      </c>
      <c r="W14" s="138"/>
      <c r="X14" s="177"/>
      <c r="Y14" s="65"/>
    </row>
    <row r="15" spans="1:25" ht="37.799999999999997" customHeight="1" thickTop="1" x14ac:dyDescent="0.5">
      <c r="A15" s="9" t="s">
        <v>30</v>
      </c>
      <c r="B15" s="10" t="s">
        <v>31</v>
      </c>
      <c r="C15" s="10">
        <v>1911</v>
      </c>
      <c r="D15" s="22" t="s">
        <v>7</v>
      </c>
      <c r="E15" s="97" t="s">
        <v>197</v>
      </c>
      <c r="F15" s="129">
        <v>5</v>
      </c>
      <c r="G15" s="371">
        <v>4</v>
      </c>
      <c r="H15" s="174"/>
      <c r="I15" s="371"/>
      <c r="J15" s="174"/>
      <c r="K15" s="382">
        <v>2</v>
      </c>
      <c r="L15" s="192">
        <v>6</v>
      </c>
      <c r="M15" s="387">
        <v>2</v>
      </c>
      <c r="N15" s="192">
        <v>2</v>
      </c>
      <c r="O15" s="129"/>
      <c r="P15" s="192">
        <v>1</v>
      </c>
      <c r="Q15" s="129"/>
      <c r="R15" s="192">
        <v>1</v>
      </c>
      <c r="S15" s="394">
        <v>1</v>
      </c>
      <c r="T15" s="387"/>
      <c r="U15" s="192"/>
      <c r="V15" s="190">
        <v>1</v>
      </c>
      <c r="W15" s="129"/>
      <c r="X15" s="174"/>
      <c r="Y15" s="65"/>
    </row>
    <row r="16" spans="1:25" ht="37.200000000000003" customHeight="1" x14ac:dyDescent="0.5">
      <c r="A16" s="13" t="s">
        <v>32</v>
      </c>
      <c r="B16" s="3" t="s">
        <v>33</v>
      </c>
      <c r="C16" s="2">
        <v>1912</v>
      </c>
      <c r="D16" s="4" t="s">
        <v>7</v>
      </c>
      <c r="E16" s="98" t="s">
        <v>191</v>
      </c>
      <c r="F16" s="126">
        <v>9</v>
      </c>
      <c r="G16" s="372">
        <v>7</v>
      </c>
      <c r="H16" s="175">
        <v>2</v>
      </c>
      <c r="I16" s="372"/>
      <c r="J16" s="175">
        <v>2</v>
      </c>
      <c r="K16" s="383">
        <v>1</v>
      </c>
      <c r="L16" s="200"/>
      <c r="M16" s="388">
        <v>1</v>
      </c>
      <c r="N16" s="200">
        <v>1</v>
      </c>
      <c r="O16" s="256">
        <v>3</v>
      </c>
      <c r="P16" s="200">
        <v>1</v>
      </c>
      <c r="Q16" s="126"/>
      <c r="R16" s="200"/>
      <c r="S16" s="395"/>
      <c r="T16" s="388"/>
      <c r="U16" s="200"/>
      <c r="V16" s="198"/>
      <c r="W16" s="126">
        <v>2</v>
      </c>
      <c r="X16" s="175"/>
      <c r="Y16" s="65"/>
    </row>
    <row r="17" spans="1:25" ht="40.799999999999997" customHeight="1" x14ac:dyDescent="0.5">
      <c r="A17" s="13" t="s">
        <v>34</v>
      </c>
      <c r="B17" s="3" t="s">
        <v>35</v>
      </c>
      <c r="C17" s="2">
        <v>1913</v>
      </c>
      <c r="D17" s="4" t="s">
        <v>7</v>
      </c>
      <c r="E17" s="98"/>
      <c r="F17" s="126">
        <v>14</v>
      </c>
      <c r="G17" s="375">
        <v>20</v>
      </c>
      <c r="H17" s="175"/>
      <c r="I17" s="375">
        <v>18</v>
      </c>
      <c r="J17" s="175"/>
      <c r="K17" s="386">
        <v>12</v>
      </c>
      <c r="L17" s="335">
        <v>10</v>
      </c>
      <c r="M17" s="388">
        <v>1</v>
      </c>
      <c r="N17" s="200">
        <v>3</v>
      </c>
      <c r="O17" s="256">
        <v>7</v>
      </c>
      <c r="P17" s="340">
        <v>10</v>
      </c>
      <c r="Q17" s="126">
        <v>3</v>
      </c>
      <c r="R17" s="200">
        <v>4</v>
      </c>
      <c r="S17" s="395">
        <v>2</v>
      </c>
      <c r="T17" s="388"/>
      <c r="U17" s="200"/>
      <c r="V17" s="198"/>
      <c r="W17" s="256">
        <v>3</v>
      </c>
      <c r="X17" s="175"/>
      <c r="Y17" s="65"/>
    </row>
    <row r="18" spans="1:25" ht="34.200000000000003" customHeight="1" thickBot="1" x14ac:dyDescent="0.55000000000000004">
      <c r="A18" s="14" t="s">
        <v>36</v>
      </c>
      <c r="B18" s="15" t="s">
        <v>37</v>
      </c>
      <c r="C18" s="16">
        <v>1914</v>
      </c>
      <c r="D18" s="17" t="s">
        <v>15</v>
      </c>
      <c r="E18" s="100"/>
      <c r="F18" s="295">
        <v>45</v>
      </c>
      <c r="G18" s="373">
        <v>15</v>
      </c>
      <c r="H18" s="177"/>
      <c r="I18" s="373">
        <v>6</v>
      </c>
      <c r="J18" s="177"/>
      <c r="K18" s="384">
        <v>4</v>
      </c>
      <c r="L18" s="207">
        <v>3</v>
      </c>
      <c r="M18" s="390"/>
      <c r="N18" s="207">
        <v>1</v>
      </c>
      <c r="O18" s="138"/>
      <c r="P18" s="207"/>
      <c r="Q18" s="138"/>
      <c r="R18" s="207"/>
      <c r="S18" s="396"/>
      <c r="T18" s="390"/>
      <c r="U18" s="207"/>
      <c r="V18" s="26">
        <v>1</v>
      </c>
      <c r="W18" s="138"/>
      <c r="X18" s="177"/>
      <c r="Y18" s="65"/>
    </row>
    <row r="19" spans="1:25" ht="55.2" customHeight="1" thickTop="1" thickBot="1" x14ac:dyDescent="0.35">
      <c r="A19" s="588" t="s">
        <v>317</v>
      </c>
      <c r="B19" s="588"/>
      <c r="C19" s="588"/>
      <c r="D19" s="589"/>
      <c r="E19" s="54" t="s">
        <v>116</v>
      </c>
      <c r="F19" s="464">
        <f t="shared" ref="F19:J19" si="0">SUM(F4:F18)</f>
        <v>259</v>
      </c>
      <c r="G19" s="376">
        <f t="shared" si="0"/>
        <v>134</v>
      </c>
      <c r="H19" s="367">
        <f t="shared" si="0"/>
        <v>26</v>
      </c>
      <c r="I19" s="379">
        <f t="shared" si="0"/>
        <v>62</v>
      </c>
      <c r="J19" s="381">
        <f t="shared" si="0"/>
        <v>23</v>
      </c>
      <c r="K19" s="609">
        <v>78</v>
      </c>
      <c r="L19" s="464">
        <f t="shared" ref="L19:U19" si="1">SUM(L4:L18)</f>
        <v>66</v>
      </c>
      <c r="M19" s="599">
        <f t="shared" si="1"/>
        <v>44</v>
      </c>
      <c r="N19" s="464">
        <f t="shared" si="1"/>
        <v>34</v>
      </c>
      <c r="O19" s="464">
        <f t="shared" si="1"/>
        <v>30</v>
      </c>
      <c r="P19" s="464">
        <f t="shared" si="1"/>
        <v>29</v>
      </c>
      <c r="Q19" s="527">
        <f t="shared" si="1"/>
        <v>28</v>
      </c>
      <c r="R19" s="464">
        <f t="shared" si="1"/>
        <v>28</v>
      </c>
      <c r="S19" s="604">
        <f t="shared" si="1"/>
        <v>28</v>
      </c>
      <c r="T19" s="599">
        <f t="shared" si="1"/>
        <v>25</v>
      </c>
      <c r="U19" s="58">
        <f t="shared" si="1"/>
        <v>2</v>
      </c>
      <c r="V19" s="56">
        <f>SUM(V4:V18)</f>
        <v>22</v>
      </c>
      <c r="W19" s="72">
        <f t="shared" ref="W19:X19" si="2">SUM(W4:W18)</f>
        <v>10</v>
      </c>
      <c r="X19" s="367">
        <f t="shared" si="2"/>
        <v>9</v>
      </c>
      <c r="Y19" s="65"/>
    </row>
    <row r="20" spans="1:25" ht="52.8" customHeight="1" thickTop="1" thickBot="1" x14ac:dyDescent="0.35">
      <c r="A20" s="612" t="s">
        <v>318</v>
      </c>
      <c r="B20" s="612"/>
      <c r="C20" s="612"/>
      <c r="D20" s="613"/>
      <c r="E20" s="66" t="s">
        <v>115</v>
      </c>
      <c r="F20" s="433"/>
      <c r="G20" s="611">
        <v>160</v>
      </c>
      <c r="H20" s="554"/>
      <c r="I20" s="611">
        <v>85</v>
      </c>
      <c r="J20" s="554"/>
      <c r="K20" s="610"/>
      <c r="L20" s="433"/>
      <c r="M20" s="600"/>
      <c r="N20" s="433"/>
      <c r="O20" s="433"/>
      <c r="P20" s="433"/>
      <c r="Q20" s="528"/>
      <c r="R20" s="433"/>
      <c r="S20" s="605"/>
      <c r="T20" s="600"/>
      <c r="U20" s="426">
        <v>24</v>
      </c>
      <c r="V20" s="435"/>
      <c r="W20" s="521">
        <v>19</v>
      </c>
      <c r="X20" s="529"/>
      <c r="Y20" s="65"/>
    </row>
    <row r="21" spans="1:25" ht="15" thickTop="1" x14ac:dyDescent="0.3"/>
  </sheetData>
  <mergeCells count="43">
    <mergeCell ref="A19:D19"/>
    <mergeCell ref="A20:D20"/>
    <mergeCell ref="A1:D1"/>
    <mergeCell ref="E1:E3"/>
    <mergeCell ref="A2:A3"/>
    <mergeCell ref="B2:B3"/>
    <mergeCell ref="C2:C3"/>
    <mergeCell ref="D2:D3"/>
    <mergeCell ref="F1:K1"/>
    <mergeCell ref="M2:M3"/>
    <mergeCell ref="M19:M20"/>
    <mergeCell ref="L1:M1"/>
    <mergeCell ref="N2:N3"/>
    <mergeCell ref="N19:N20"/>
    <mergeCell ref="F2:F3"/>
    <mergeCell ref="G2:H2"/>
    <mergeCell ref="I2:J2"/>
    <mergeCell ref="K2:K3"/>
    <mergeCell ref="F19:F20"/>
    <mergeCell ref="K19:K20"/>
    <mergeCell ref="G20:H20"/>
    <mergeCell ref="I20:J20"/>
    <mergeCell ref="L2:L3"/>
    <mergeCell ref="L19:L20"/>
    <mergeCell ref="O19:O20"/>
    <mergeCell ref="Q2:Q3"/>
    <mergeCell ref="Q19:Q20"/>
    <mergeCell ref="R2:R3"/>
    <mergeCell ref="S2:S3"/>
    <mergeCell ref="R19:R20"/>
    <mergeCell ref="S19:S20"/>
    <mergeCell ref="P2:P3"/>
    <mergeCell ref="P19:P20"/>
    <mergeCell ref="O2:O3"/>
    <mergeCell ref="W2:X2"/>
    <mergeCell ref="W1:X1"/>
    <mergeCell ref="T2:T3"/>
    <mergeCell ref="T19:T20"/>
    <mergeCell ref="R1:T1"/>
    <mergeCell ref="U2:V2"/>
    <mergeCell ref="U20:V20"/>
    <mergeCell ref="U1:V1"/>
    <mergeCell ref="W20:X20"/>
  </mergeCells>
  <conditionalFormatting sqref="A4:A11 A13 A15:A18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{D31F9433-D185-406F-8D40-38734C007172}</x14:id>
        </ext>
      </extLst>
    </cfRule>
  </conditionalFormatting>
  <hyperlinks>
    <hyperlink ref="D14" r:id="rId1" display="https://www.gutenberg.org/ebooks/author/39917" xr:uid="{198DA356-B75A-40F8-839A-694ED48D4CE4}"/>
    <hyperlink ref="D12" r:id="rId2" display="https://archive.org/details/spainoftodaynarr00shaw/page/n11/mode/2up" xr:uid="{06E00B51-7D10-4B64-B33A-988013BD2EA7}"/>
    <hyperlink ref="D15" r:id="rId3" display="https://www.gutenberg.org/ebooks/40357" xr:uid="{8FB26AA7-19FF-4247-847B-F68C9F2A6415}"/>
    <hyperlink ref="D5" r:id="rId4" display="https://archive.org/details/landofdons00will/page/n19/mode/2up" xr:uid="{2B49E818-0877-4EB5-A54E-E119C11EE257}"/>
    <hyperlink ref="D11" r:id="rId5" display="https://www.gutenberg.org/ebooks/40356" xr:uid="{2CBFD8F2-E704-4C2D-89A2-9113EFD92E51}"/>
    <hyperlink ref="D13" r:id="rId6" display="https://www.gutenberg.org/ebooks/41593" xr:uid="{256E26BA-D584-42FE-834E-A79C0AE739A4}"/>
    <hyperlink ref="D9" r:id="rId7" display="https://www.gutenberg.org/ebooks/37944" xr:uid="{DAA6DC4D-5CBB-41A7-BF2A-F1D479E14A9F}"/>
    <hyperlink ref="D4" r:id="rId8" display="https://www.gutenberg.org/ebooks/38767" xr:uid="{E7C0C356-657B-4360-840B-597BACF5689C}"/>
    <hyperlink ref="D6" r:id="rId9" display="https://www.gutenberg.org/ebooks/59944" xr:uid="{3669A01E-0E24-4FDC-A874-544DF0FE3A4C}"/>
    <hyperlink ref="D7" r:id="rId10" display="https://archive.org/details/atrampinspain00unkngoog/page/n8/mode/2up" xr:uid="{CF274ABC-5395-424F-A96D-BD7FD280E1AB}"/>
    <hyperlink ref="D8" r:id="rId11" display="https://www.gutenberg.org/ebooks/27252" xr:uid="{857CAEC9-C47E-4B39-8567-F472EEED0D6F}"/>
    <hyperlink ref="D10" r:id="rId12" display="https://archive.org/details/sunshadowinspain00elliuoft" xr:uid="{260365FB-28D3-49CC-8BB2-3FD2F0772E95}"/>
    <hyperlink ref="D16" r:id="rId13" display="https://www.gutenberg.org/ebooks/40201" xr:uid="{F7485C34-437A-4D6F-89BB-6931F35F9A47}"/>
    <hyperlink ref="D17" r:id="rId14" display="https://www.gutenberg.org/ebooks/7430" xr:uid="{2D59F925-366C-4DA3-9D22-55CB5ECABD16}"/>
    <hyperlink ref="D18" r:id="rId15" display="https://archive.org/details/throughspainreco00dickrich/page/n13/mode/2up" xr:uid="{26DAFB3B-82A6-4BF2-A423-D08310FF53C3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1F9433-D185-406F-8D40-38734C0071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2.1 PÚBLICO</vt:lpstr>
      <vt:lpstr>2.2 MONUMENTOS</vt:lpstr>
      <vt:lpstr>2.3 NATURAL</vt:lpstr>
      <vt:lpstr>2.4 VIAJE</vt:lpstr>
      <vt:lpstr>2.5 CONSUMO</vt:lpstr>
      <vt:lpstr>2.6 PROPIOS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2026-05-25T15:57:17Z</dcterms:modified>
</cp:coreProperties>
</file>