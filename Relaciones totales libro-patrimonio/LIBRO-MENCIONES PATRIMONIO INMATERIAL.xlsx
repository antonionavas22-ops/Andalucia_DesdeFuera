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7112B9A9-38E4-44AB-B662-0848FB2D338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ersonalidad y general" sheetId="1" r:id="rId1"/>
    <sheet name="oficios" sheetId="2" r:id="rId2"/>
    <sheet name="gentilicios y grupos sociales" sheetId="3" r:id="rId3"/>
    <sheet name="actividades y fies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L19" i="4" l="1"/>
  <c r="BK19" i="4"/>
  <c r="BN19" i="4"/>
  <c r="BM19" i="4"/>
  <c r="BH19" i="4"/>
  <c r="AZ19" i="4"/>
  <c r="AY19" i="4"/>
  <c r="BA19" i="4"/>
  <c r="AW19" i="4"/>
  <c r="AX19" i="4"/>
  <c r="AP19" i="4"/>
  <c r="AT19" i="4"/>
  <c r="AM19" i="4"/>
  <c r="AL19" i="4"/>
  <c r="AB19" i="4"/>
  <c r="AA19" i="4"/>
  <c r="Z19" i="4"/>
  <c r="Y19" i="4"/>
  <c r="X19" i="4"/>
  <c r="O19" i="4"/>
  <c r="N19" i="4"/>
  <c r="P19" i="4"/>
  <c r="I19" i="4"/>
  <c r="H19" i="4"/>
  <c r="BO19" i="4"/>
  <c r="AS19" i="4"/>
  <c r="J19" i="4"/>
  <c r="T19" i="4"/>
  <c r="S19" i="4"/>
  <c r="R19" i="4"/>
  <c r="Q19" i="4"/>
  <c r="M19" i="4"/>
  <c r="L19" i="4"/>
  <c r="K19" i="4"/>
  <c r="V19" i="4"/>
  <c r="U19" i="4"/>
  <c r="AI19" i="4"/>
  <c r="AH19" i="4"/>
  <c r="AG19" i="4"/>
  <c r="AF19" i="4"/>
  <c r="AE19" i="4"/>
  <c r="AD19" i="4"/>
  <c r="AC19" i="4"/>
  <c r="AU19" i="4"/>
  <c r="BD19" i="4"/>
  <c r="BC19" i="4"/>
  <c r="BB19" i="4"/>
  <c r="AR19" i="4"/>
  <c r="AQ19" i="4"/>
  <c r="AO19" i="4"/>
  <c r="AN19" i="4"/>
  <c r="AK19" i="4"/>
  <c r="BS19" i="4"/>
  <c r="BR19" i="4"/>
  <c r="BQ19" i="4"/>
  <c r="BP19" i="4"/>
  <c r="AV19" i="2"/>
  <c r="AU19" i="2"/>
  <c r="AT19" i="2"/>
  <c r="AS19" i="2"/>
  <c r="AR19" i="2"/>
  <c r="BM19" i="2"/>
  <c r="BH19" i="2"/>
  <c r="BG19" i="2"/>
  <c r="BF19" i="2"/>
  <c r="BJ19" i="2"/>
  <c r="BD19" i="2"/>
  <c r="BC19" i="2"/>
  <c r="BB19" i="2"/>
  <c r="BA19" i="2"/>
  <c r="AZ19" i="2"/>
  <c r="AY19" i="2"/>
  <c r="AX19" i="2"/>
  <c r="AI19" i="2"/>
  <c r="AO19" i="2"/>
  <c r="AN19" i="2"/>
  <c r="AM19" i="2"/>
  <c r="AL19" i="2"/>
  <c r="AC19" i="2"/>
  <c r="AB19" i="2"/>
  <c r="AE19" i="2"/>
  <c r="AF19" i="2"/>
  <c r="AD19" i="2"/>
  <c r="AH19" i="2"/>
  <c r="AG19" i="2"/>
  <c r="AQ19" i="2"/>
  <c r="AP19" i="2"/>
  <c r="AA19" i="2"/>
  <c r="Z19" i="2"/>
  <c r="Y19" i="2"/>
  <c r="X19" i="2"/>
  <c r="W19" i="2"/>
  <c r="V19" i="2"/>
  <c r="U19" i="2"/>
  <c r="T19" i="2"/>
  <c r="S19" i="2"/>
  <c r="H19" i="2"/>
  <c r="I19" i="2"/>
  <c r="L19" i="2"/>
  <c r="M19" i="2"/>
  <c r="N19" i="2"/>
  <c r="O19" i="2"/>
  <c r="P19" i="2"/>
  <c r="BI19" i="4"/>
  <c r="BG19" i="4"/>
  <c r="BF19" i="4"/>
  <c r="BE19" i="4"/>
  <c r="AJ19" i="4"/>
  <c r="G19" i="4"/>
  <c r="BN19" i="2"/>
  <c r="BL19" i="2"/>
  <c r="Y19" i="3"/>
  <c r="X19" i="3"/>
  <c r="AH19" i="3"/>
  <c r="AF19" i="3"/>
  <c r="AE19" i="3"/>
  <c r="AD19" i="3"/>
  <c r="AG19" i="3"/>
  <c r="AQ19" i="3"/>
  <c r="AP19" i="3"/>
  <c r="AN19" i="3"/>
  <c r="AM19" i="3"/>
  <c r="BC19" i="3"/>
  <c r="BB19" i="3"/>
  <c r="BA19" i="3"/>
  <c r="AZ19" i="3"/>
  <c r="AY19" i="3"/>
  <c r="AX19" i="3"/>
  <c r="AK19" i="3"/>
  <c r="AJ19" i="3"/>
  <c r="AI19" i="3"/>
  <c r="M19" i="3"/>
  <c r="K19" i="3"/>
  <c r="AB19" i="3"/>
  <c r="AA19" i="3"/>
  <c r="Z19" i="3"/>
  <c r="AS19" i="3"/>
  <c r="BH19" i="3"/>
  <c r="BG19" i="3"/>
  <c r="BF19" i="3"/>
  <c r="BE19" i="3"/>
  <c r="BD19" i="3"/>
  <c r="AW19" i="3"/>
  <c r="AV19" i="3"/>
  <c r="AU19" i="3"/>
  <c r="AT19" i="3"/>
  <c r="AR19" i="3"/>
  <c r="AO19" i="3"/>
  <c r="AL19" i="3"/>
  <c r="AC19" i="3"/>
  <c r="W19" i="3"/>
  <c r="V19" i="3"/>
  <c r="U19" i="3"/>
  <c r="S19" i="3"/>
  <c r="R19" i="3"/>
  <c r="Q19" i="3"/>
  <c r="P19" i="3"/>
  <c r="O19" i="3"/>
  <c r="N19" i="3"/>
  <c r="L19" i="3"/>
  <c r="J19" i="3"/>
  <c r="I19" i="3"/>
  <c r="H19" i="3"/>
  <c r="G19" i="3"/>
  <c r="CH19" i="1"/>
  <c r="CI19" i="1"/>
  <c r="CB19" i="1"/>
  <c r="CA19" i="1"/>
  <c r="DZ19" i="1"/>
  <c r="DW21" i="1"/>
  <c r="BZ19" i="1"/>
  <c r="BY19" i="1"/>
  <c r="BU19" i="1"/>
  <c r="BQ19" i="1"/>
  <c r="BP19" i="1"/>
  <c r="CM19" i="1"/>
  <c r="DA19" i="1"/>
  <c r="CV19" i="1"/>
  <c r="CZ19" i="1"/>
  <c r="CY19" i="1"/>
  <c r="CX19" i="1"/>
  <c r="CW19" i="1"/>
  <c r="CU19" i="1"/>
  <c r="CT19" i="1"/>
  <c r="CS19" i="1"/>
  <c r="CR19" i="1"/>
  <c r="CQ19" i="1"/>
  <c r="CP19" i="1"/>
  <c r="CO19" i="1"/>
  <c r="CN19" i="1"/>
  <c r="CL19" i="1"/>
  <c r="CK19" i="1"/>
  <c r="CG19" i="1"/>
  <c r="DH19" i="1"/>
  <c r="DG19" i="1"/>
  <c r="BX19" i="1"/>
  <c r="BW19" i="1"/>
  <c r="BV19" i="1"/>
  <c r="BT19" i="1"/>
  <c r="BS19" i="1"/>
  <c r="BR19" i="1"/>
  <c r="BM19" i="1"/>
  <c r="AV19" i="1"/>
  <c r="AU19" i="1"/>
  <c r="AT19" i="1"/>
  <c r="AS19" i="1"/>
  <c r="AP19" i="1"/>
  <c r="AO19" i="1"/>
  <c r="AN19" i="1"/>
  <c r="BF19" i="1"/>
  <c r="BE19" i="1"/>
  <c r="BD19" i="1"/>
  <c r="BC19" i="1"/>
  <c r="BB19" i="1"/>
  <c r="BA19" i="1"/>
  <c r="AZ19" i="1"/>
  <c r="AY19" i="1"/>
  <c r="AX19" i="1"/>
  <c r="AW19" i="1"/>
  <c r="AR19" i="1"/>
  <c r="AQ19" i="1"/>
  <c r="AM19" i="1"/>
  <c r="BI19" i="1"/>
  <c r="BN19" i="1"/>
  <c r="BO19" i="1"/>
  <c r="BL19" i="1"/>
  <c r="BK19" i="1"/>
  <c r="BJ19" i="1"/>
  <c r="DF19" i="1"/>
  <c r="DE19" i="1"/>
  <c r="CD19" i="1"/>
  <c r="CC19" i="1"/>
  <c r="DJ19" i="1"/>
  <c r="DI19" i="1"/>
  <c r="DD19" i="1"/>
  <c r="AH19" i="1"/>
  <c r="AF19" i="1"/>
  <c r="AC19" i="1"/>
  <c r="W19" i="1"/>
  <c r="X19" i="1"/>
  <c r="Q19" i="1"/>
  <c r="P19" i="1"/>
  <c r="N19" i="1"/>
  <c r="K19" i="1"/>
  <c r="J19" i="1"/>
  <c r="I19" i="1"/>
  <c r="H19" i="1"/>
  <c r="G19" i="1"/>
  <c r="AJ19" i="1"/>
  <c r="AK19" i="1"/>
  <c r="U19" i="1"/>
  <c r="AI19" i="1"/>
  <c r="AG19" i="1"/>
  <c r="V19" i="1"/>
  <c r="T19" i="1"/>
  <c r="AE19" i="1"/>
  <c r="AD19" i="1"/>
  <c r="AB19" i="1"/>
  <c r="AA19" i="1"/>
  <c r="Z19" i="1"/>
  <c r="Y19" i="1"/>
  <c r="S19" i="1"/>
  <c r="R19" i="1"/>
  <c r="O19" i="1"/>
  <c r="DC19" i="1"/>
  <c r="DB19" i="1"/>
  <c r="CJ19" i="1"/>
  <c r="CF19" i="1"/>
  <c r="CE19" i="1"/>
  <c r="BH19" i="1"/>
  <c r="BG19" i="1"/>
  <c r="M19" i="1"/>
  <c r="L19" i="1"/>
</calcChain>
</file>

<file path=xl/sharedStrings.xml><?xml version="1.0" encoding="utf-8"?>
<sst xmlns="http://schemas.openxmlformats.org/spreadsheetml/2006/main" count="781" uniqueCount="494">
  <si>
    <t>RELATOS DE VIAJES ANGLOSAJONES (1900-1914)</t>
  </si>
  <si>
    <t>AUTOR (fecha y nacionalidad angosajona)</t>
  </si>
  <si>
    <t>TÍTULO</t>
  </si>
  <si>
    <t>AÑO</t>
  </si>
  <si>
    <t>REPOSITORIO</t>
  </si>
  <si>
    <r>
      <t xml:space="preserve">Bates, Katharine Lee (1859-1929,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</si>
  <si>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 xml:space="preserve">Spanish Highway and Bayways </t>
  </si>
  <si>
    <t>Gutenberg</t>
  </si>
  <si>
    <t>Williams Leonard (1871-1934, UK)</t>
  </si>
  <si>
    <t>The land of the Dons</t>
  </si>
  <si>
    <t xml:space="preserve"> Internet archive</t>
  </si>
  <si>
    <t>Albert Frederick Calvert (1872-1946, UK)</t>
  </si>
  <si>
    <t>Impressions of Spain</t>
  </si>
  <si>
    <t xml:space="preserve">Bart Kennedy (1861-1930, UK) </t>
  </si>
  <si>
    <t>A tramp in Spain: from Andalusia to Andorra</t>
  </si>
  <si>
    <t>Internet archive</t>
  </si>
  <si>
    <t>Maugham William Somerset (1874-1965, FRA/UK)</t>
  </si>
  <si>
    <t xml:space="preserve">The land of the blessed virgin: sketches and impressions in Andalusia </t>
  </si>
  <si>
    <t>Southern Spain</t>
  </si>
  <si>
    <r>
      <t xml:space="preserve">Maude Howe Elliot (1854-1948,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</si>
  <si>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Sun and Shadow in Spain</t>
  </si>
  <si>
    <t>Collins, William Wiehe (1837, 1920, UK)</t>
  </si>
  <si>
    <t>Cathedral cities of Spain</t>
  </si>
  <si>
    <r>
      <t xml:space="preserve">Joseph Thompson Shaw (1874-1952,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</si>
  <si>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Spain of to-day: a narrative guide to the country of the dons with suggestions for travellers</t>
  </si>
  <si>
    <t xml:space="preserve">Abel Chapman (1851-1929, UK) y John Walter Buck (1843-1917 USA/UK) </t>
  </si>
  <si>
    <t>Unexplored Spain</t>
  </si>
  <si>
    <r>
      <rPr>
        <sz val="12"/>
        <color theme="1"/>
        <rFont val="Calibri"/>
        <family val="2"/>
        <scheme val="minor"/>
      </rPr>
      <t xml:space="preserve">Elizabeth Boyle O`Reilly (1874-1922, </t>
    </r>
    <r>
      <rPr>
        <b/>
        <sz val="12"/>
        <color theme="1"/>
        <rFont val="Calibri"/>
        <family val="2"/>
        <scheme val="minor"/>
      </rPr>
      <t>USA)</t>
    </r>
  </si>
  <si>
    <t>Heroic  Spain</t>
  </si>
  <si>
    <t xml:space="preserve"> Gutenberg </t>
  </si>
  <si>
    <r>
      <t xml:space="preserve">Harry Alverson Franck (1881-1962,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</si>
  <si>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Four months afoot in Spain</t>
  </si>
  <si>
    <t xml:space="preserve">Catherine Gasquoine Hartley (1874-1921, Madagascar/UK) </t>
  </si>
  <si>
    <t>Things seen in Spain</t>
  </si>
  <si>
    <r>
      <t xml:space="preserve">Howells William Dean (1837-1920, </t>
    </r>
    <r>
      <rPr>
        <b/>
        <sz val="12"/>
        <color theme="1"/>
        <rFont val="Calibri"/>
        <family val="2"/>
        <scheme val="minor"/>
      </rPr>
      <t>USA</t>
    </r>
    <r>
      <rPr>
        <sz val="12"/>
        <color theme="1"/>
        <rFont val="Calibri"/>
        <family val="2"/>
        <scheme val="minor"/>
      </rPr>
      <t>)</t>
    </r>
  </si>
  <si>
    <t>Family spanish travel</t>
  </si>
  <si>
    <t>Duncan Dickinson ¿fecha de nacimiento y muerte? (UK)</t>
  </si>
  <si>
    <t>Thorugh Spain</t>
  </si>
  <si>
    <t>Con fondo oscuro las tres menciones más altas por metadato entre los 15 relatos. Más negrita, la mención más alta</t>
  </si>
  <si>
    <t>C</t>
  </si>
  <si>
    <t>O</t>
  </si>
  <si>
    <t>I</t>
  </si>
  <si>
    <t>N</t>
  </si>
  <si>
    <t>A</t>
  </si>
  <si>
    <t>S</t>
  </si>
  <si>
    <t>U</t>
  </si>
  <si>
    <t>E</t>
  </si>
  <si>
    <t>L</t>
  </si>
  <si>
    <t>G</t>
  </si>
  <si>
    <t>R</t>
  </si>
  <si>
    <t>T</t>
  </si>
  <si>
    <t>TOTALES CON VARIANTES (SIN NEGRITA)</t>
  </si>
  <si>
    <t>Todos los totales tienen fondo.</t>
  </si>
  <si>
    <t>TOTALES CON VARIANTES UNIDAS</t>
  </si>
  <si>
    <t>É</t>
  </si>
  <si>
    <t>MUJER</t>
  </si>
  <si>
    <t>HOMBRE</t>
  </si>
  <si>
    <t>lady</t>
  </si>
  <si>
    <t>ladies</t>
  </si>
  <si>
    <t>girl</t>
  </si>
  <si>
    <t>girls</t>
  </si>
  <si>
    <t>senora</t>
  </si>
  <si>
    <t>woman</t>
  </si>
  <si>
    <t>senorita</t>
  </si>
  <si>
    <t>nina</t>
  </si>
  <si>
    <t>ninas</t>
  </si>
  <si>
    <t>dona</t>
  </si>
  <si>
    <t>men</t>
  </si>
  <si>
    <t>don</t>
  </si>
  <si>
    <t>man</t>
  </si>
  <si>
    <t>boy</t>
  </si>
  <si>
    <t>boys</t>
  </si>
  <si>
    <t>senor</t>
  </si>
  <si>
    <t>gentlemen</t>
  </si>
  <si>
    <t>caballero</t>
  </si>
  <si>
    <t>gentleman</t>
  </si>
  <si>
    <t>women</t>
  </si>
  <si>
    <t>señor</t>
  </si>
  <si>
    <t>chico</t>
  </si>
  <si>
    <t>señorita</t>
  </si>
  <si>
    <t>senior</t>
  </si>
  <si>
    <t>seniora</t>
  </si>
  <si>
    <t>hombre</t>
  </si>
  <si>
    <t>chica</t>
  </si>
  <si>
    <t>niño</t>
  </si>
  <si>
    <t>nino</t>
  </si>
  <si>
    <t>señora</t>
  </si>
  <si>
    <t>niña</t>
  </si>
  <si>
    <t>GÉNERO</t>
  </si>
  <si>
    <t>virgen</t>
  </si>
  <si>
    <t>virgin</t>
  </si>
  <si>
    <t>AMOR-ODIO</t>
  </si>
  <si>
    <t>love</t>
  </si>
  <si>
    <t>beautiful</t>
  </si>
  <si>
    <t>wonderful</t>
  </si>
  <si>
    <t>VIRGEN</t>
  </si>
  <si>
    <t>san</t>
  </si>
  <si>
    <t>pobre</t>
  </si>
  <si>
    <t>POBREZA</t>
  </si>
  <si>
    <t>poor</t>
  </si>
  <si>
    <t>beauty</t>
  </si>
  <si>
    <t>beauties</t>
  </si>
  <si>
    <t>HERMOSO-BELLEZA</t>
  </si>
  <si>
    <t>GENERAL Y DE PERSONALIDAD</t>
  </si>
  <si>
    <t>P</t>
  </si>
  <si>
    <t>sun</t>
  </si>
  <si>
    <t>ORGULLO-ORGULLOSO</t>
  </si>
  <si>
    <t>proud</t>
  </si>
  <si>
    <t>santa</t>
  </si>
  <si>
    <t>saint</t>
  </si>
  <si>
    <t>SOL-CALOR</t>
  </si>
  <si>
    <t>heat</t>
  </si>
  <si>
    <t>sunny</t>
  </si>
  <si>
    <t>TRADICIÓN</t>
  </si>
  <si>
    <t>tradition</t>
  </si>
  <si>
    <t>OLE</t>
  </si>
  <si>
    <t>VIVA</t>
  </si>
  <si>
    <t>ole</t>
  </si>
  <si>
    <t>oles</t>
  </si>
  <si>
    <t>viva</t>
  </si>
  <si>
    <t>vivas</t>
  </si>
  <si>
    <t>simpatico</t>
  </si>
  <si>
    <t>hot</t>
  </si>
  <si>
    <t>CARIDAD</t>
  </si>
  <si>
    <t>charity</t>
  </si>
  <si>
    <t>caridad</t>
  </si>
  <si>
    <t>pride</t>
  </si>
  <si>
    <t>DELICIOSO</t>
  </si>
  <si>
    <t>delicious</t>
  </si>
  <si>
    <t>HONESTIDAD</t>
  </si>
  <si>
    <t>honesty</t>
  </si>
  <si>
    <t>custom</t>
  </si>
  <si>
    <t>dios</t>
  </si>
  <si>
    <t>FIESTA</t>
  </si>
  <si>
    <t>fiesta</t>
  </si>
  <si>
    <t>BRAVO</t>
  </si>
  <si>
    <t>bravo</t>
  </si>
  <si>
    <t>bravos</t>
  </si>
  <si>
    <t>cheerful</t>
  </si>
  <si>
    <t>friendly</t>
  </si>
  <si>
    <t>ALEGRÍA-SIMPATIA-AMABLE</t>
  </si>
  <si>
    <t>PATRIOTA</t>
  </si>
  <si>
    <t>patriotic</t>
  </si>
  <si>
    <t>patriot</t>
  </si>
  <si>
    <t>hate</t>
  </si>
  <si>
    <t>siesta</t>
  </si>
  <si>
    <t>SIESTA</t>
  </si>
  <si>
    <t>siestas</t>
  </si>
  <si>
    <t>SANTO-DIOS</t>
  </si>
  <si>
    <t>delightful</t>
  </si>
  <si>
    <t>honest</t>
  </si>
  <si>
    <t>NOVIAZGO</t>
  </si>
  <si>
    <t>novio</t>
  </si>
  <si>
    <t>sol</t>
  </si>
  <si>
    <t>GENEROSO</t>
  </si>
  <si>
    <t>generous</t>
  </si>
  <si>
    <t>juerga</t>
  </si>
  <si>
    <t>fiestas</t>
  </si>
  <si>
    <t>CHULO</t>
  </si>
  <si>
    <t>MAJO/A</t>
  </si>
  <si>
    <t>majo</t>
  </si>
  <si>
    <t>chulo</t>
  </si>
  <si>
    <t>warmth</t>
  </si>
  <si>
    <t>feast</t>
  </si>
  <si>
    <t>chulos</t>
  </si>
  <si>
    <t>María del</t>
  </si>
  <si>
    <t>María de los</t>
  </si>
  <si>
    <t>joyful</t>
  </si>
  <si>
    <t>EXOTICO</t>
  </si>
  <si>
    <t>exotic</t>
  </si>
  <si>
    <t>novia</t>
  </si>
  <si>
    <t>guason</t>
  </si>
  <si>
    <t>María la</t>
  </si>
  <si>
    <r>
      <t xml:space="preserve">67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661 </t>
    </r>
    <r>
      <rPr>
        <sz val="12"/>
        <rFont val="Calibri"/>
        <family val="2"/>
        <scheme val="minor"/>
      </rPr>
      <t>menciones</t>
    </r>
  </si>
  <si>
    <r>
      <t>49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490 </t>
    </r>
    <r>
      <rPr>
        <sz val="12"/>
        <rFont val="Calibri"/>
        <family val="2"/>
        <scheme val="minor"/>
      </rPr>
      <t>menciones</t>
    </r>
  </si>
  <si>
    <r>
      <t xml:space="preserve">38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149 </t>
    </r>
    <r>
      <rPr>
        <sz val="12"/>
        <rFont val="Calibri"/>
        <family val="2"/>
        <scheme val="minor"/>
      </rPr>
      <t>menciones</t>
    </r>
  </si>
  <si>
    <r>
      <t xml:space="preserve">37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100 </t>
    </r>
    <r>
      <rPr>
        <sz val="12"/>
        <rFont val="Calibri"/>
        <family val="2"/>
        <scheme val="minor"/>
      </rPr>
      <t>menciones</t>
    </r>
  </si>
  <si>
    <r>
      <t xml:space="preserve">66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434 </t>
    </r>
    <r>
      <rPr>
        <sz val="12"/>
        <rFont val="Calibri"/>
        <family val="2"/>
        <scheme val="minor"/>
      </rPr>
      <t>menciones</t>
    </r>
  </si>
  <si>
    <t>exotics</t>
  </si>
  <si>
    <t>st.</t>
  </si>
  <si>
    <t>simpática</t>
  </si>
  <si>
    <t>maja</t>
  </si>
  <si>
    <t>majas</t>
  </si>
  <si>
    <t>calor</t>
  </si>
  <si>
    <t>majos</t>
  </si>
  <si>
    <t>courting</t>
  </si>
  <si>
    <t>bella</t>
  </si>
  <si>
    <r>
      <t xml:space="preserve">41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126 </t>
    </r>
    <r>
      <rPr>
        <sz val="12"/>
        <rFont val="Calibri"/>
        <family val="2"/>
        <scheme val="minor"/>
      </rPr>
      <t>menciones</t>
    </r>
  </si>
  <si>
    <t>Relación metadatos con sus  menciones (716 para 4731)</t>
  </si>
  <si>
    <r>
      <t xml:space="preserve">TOTAL DE MENCIONES: </t>
    </r>
    <r>
      <rPr>
        <b/>
        <sz val="22"/>
        <color theme="1"/>
        <rFont val="Calibri"/>
        <family val="2"/>
        <scheme val="minor"/>
      </rPr>
      <t>4731</t>
    </r>
    <r>
      <rPr>
        <sz val="22"/>
        <color theme="1"/>
        <rFont val="Calibri"/>
        <family val="2"/>
        <scheme val="minor"/>
      </rPr>
      <t xml:space="preserve"> (de 716 metadatos) </t>
    </r>
  </si>
  <si>
    <r>
      <rPr>
        <b/>
        <sz val="22"/>
        <color theme="1"/>
        <rFont val="Calibri"/>
        <family val="2"/>
        <scheme val="minor"/>
      </rPr>
      <t xml:space="preserve">2353 </t>
    </r>
    <r>
      <rPr>
        <sz val="22"/>
        <color theme="1"/>
        <rFont val="Calibri"/>
        <family val="2"/>
        <scheme val="minor"/>
      </rPr>
      <t xml:space="preserve">son de género/según el sexo (de 239 metadatos) y </t>
    </r>
    <r>
      <rPr>
        <b/>
        <sz val="22"/>
        <color theme="1"/>
        <rFont val="Calibri"/>
        <family val="2"/>
        <scheme val="minor"/>
      </rPr>
      <t>2378</t>
    </r>
    <r>
      <rPr>
        <sz val="22"/>
        <color theme="1"/>
        <rFont val="Calibri"/>
        <family val="2"/>
        <scheme val="minor"/>
      </rPr>
      <t xml:space="preserve"> son general y de eprsonalidad (de 486 metadatos)</t>
    </r>
  </si>
  <si>
    <r>
      <t xml:space="preserve">46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319 </t>
    </r>
    <r>
      <rPr>
        <sz val="12"/>
        <rFont val="Calibri"/>
        <family val="2"/>
        <scheme val="minor"/>
      </rPr>
      <t>menciones</t>
    </r>
  </si>
  <si>
    <r>
      <t xml:space="preserve">55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649 </t>
    </r>
    <r>
      <rPr>
        <sz val="12"/>
        <rFont val="Calibri"/>
        <family val="2"/>
        <scheme val="minor"/>
      </rPr>
      <t>menciones</t>
    </r>
  </si>
  <si>
    <r>
      <t xml:space="preserve">36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138 </t>
    </r>
    <r>
      <rPr>
        <sz val="12"/>
        <rFont val="Calibri"/>
        <family val="2"/>
        <scheme val="minor"/>
      </rPr>
      <t>menciones</t>
    </r>
  </si>
  <si>
    <r>
      <t xml:space="preserve">29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129 </t>
    </r>
    <r>
      <rPr>
        <sz val="12"/>
        <rFont val="Calibri"/>
        <family val="2"/>
        <scheme val="minor"/>
      </rPr>
      <t>menciones</t>
    </r>
  </si>
  <si>
    <r>
      <t xml:space="preserve">52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250 </t>
    </r>
    <r>
      <rPr>
        <sz val="12"/>
        <rFont val="Calibri"/>
        <family val="2"/>
        <scheme val="minor"/>
      </rPr>
      <t>menciones</t>
    </r>
  </si>
  <si>
    <r>
      <t xml:space="preserve">48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>179</t>
    </r>
    <r>
      <rPr>
        <sz val="12"/>
        <rFont val="Calibri"/>
        <family val="2"/>
        <scheme val="minor"/>
      </rPr>
      <t xml:space="preserve"> menciones</t>
    </r>
  </si>
  <si>
    <r>
      <t xml:space="preserve">48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280 </t>
    </r>
    <r>
      <rPr>
        <sz val="12"/>
        <rFont val="Calibri"/>
        <family val="2"/>
        <scheme val="minor"/>
      </rPr>
      <t>menciones</t>
    </r>
  </si>
  <si>
    <r>
      <t xml:space="preserve">50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253 </t>
    </r>
    <r>
      <rPr>
        <sz val="12"/>
        <rFont val="Calibri"/>
        <family val="2"/>
        <scheme val="minor"/>
      </rPr>
      <t>menciones</t>
    </r>
  </si>
  <si>
    <r>
      <t xml:space="preserve">55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574 </t>
    </r>
    <r>
      <rPr>
        <sz val="12"/>
        <rFont val="Calibri"/>
        <family val="2"/>
        <scheme val="minor"/>
      </rPr>
      <t>menciones</t>
    </r>
  </si>
  <si>
    <t>RELIGIOUS</t>
  </si>
  <si>
    <t>HOSPITALITY</t>
  </si>
  <si>
    <t>PICTURESQUE</t>
  </si>
  <si>
    <t>BRAVE</t>
  </si>
  <si>
    <t>VIOLENT</t>
  </si>
  <si>
    <t>EXAGERATTED</t>
  </si>
  <si>
    <t>RELIABLE</t>
  </si>
  <si>
    <t>LAZY</t>
  </si>
  <si>
    <t>GENTILICIO</t>
  </si>
  <si>
    <t>GRUPOS SOCIALES</t>
  </si>
  <si>
    <t>andalusian</t>
  </si>
  <si>
    <t>gypsy</t>
  </si>
  <si>
    <t>GITANO</t>
  </si>
  <si>
    <t>ARÁBE-ORIENTAL</t>
  </si>
  <si>
    <t>gypsies</t>
  </si>
  <si>
    <t>moors</t>
  </si>
  <si>
    <t>sevillian</t>
  </si>
  <si>
    <t>beggars</t>
  </si>
  <si>
    <t>arabian</t>
  </si>
  <si>
    <t>moor</t>
  </si>
  <si>
    <t>moslem</t>
  </si>
  <si>
    <t>MUSULMÁN-MORO</t>
  </si>
  <si>
    <t>granadine</t>
  </si>
  <si>
    <t>arab</t>
  </si>
  <si>
    <t>oriental</t>
  </si>
  <si>
    <t>beggar</t>
  </si>
  <si>
    <t>mendicant</t>
  </si>
  <si>
    <t>arabic</t>
  </si>
  <si>
    <t>sevillana</t>
  </si>
  <si>
    <t>BANDOLERO</t>
  </si>
  <si>
    <t>bandits</t>
  </si>
  <si>
    <t>contrabandista</t>
  </si>
  <si>
    <t>giitano</t>
  </si>
  <si>
    <t>gitanos</t>
  </si>
  <si>
    <t>arabs</t>
  </si>
  <si>
    <t>CARMEN</t>
  </si>
  <si>
    <t>malaguena</t>
  </si>
  <si>
    <t>moorish</t>
  </si>
  <si>
    <t>gipsy</t>
  </si>
  <si>
    <t>cordovan</t>
  </si>
  <si>
    <t>tramp</t>
  </si>
  <si>
    <t>gipsies</t>
  </si>
  <si>
    <t>tramps</t>
  </si>
  <si>
    <t>maalgueña</t>
  </si>
  <si>
    <t>muslims</t>
  </si>
  <si>
    <t>andaluz</t>
  </si>
  <si>
    <t>mendicants</t>
  </si>
  <si>
    <t>muslim</t>
  </si>
  <si>
    <t>bandit</t>
  </si>
  <si>
    <t>sevillan</t>
  </si>
  <si>
    <t>cordovese</t>
  </si>
  <si>
    <t>moslems</t>
  </si>
  <si>
    <t>moros</t>
  </si>
  <si>
    <t>sevillano</t>
  </si>
  <si>
    <t>arabe</t>
  </si>
  <si>
    <t>contrabandist</t>
  </si>
  <si>
    <t>malagueno</t>
  </si>
  <si>
    <t>pernales</t>
  </si>
  <si>
    <t>moro</t>
  </si>
  <si>
    <t>orient</t>
  </si>
  <si>
    <t>gitanas</t>
  </si>
  <si>
    <t>gitana</t>
  </si>
  <si>
    <t>granadan</t>
  </si>
  <si>
    <t>arabes</t>
  </si>
  <si>
    <t>vagabond</t>
  </si>
  <si>
    <t>vagrant</t>
  </si>
  <si>
    <t>vagrants</t>
  </si>
  <si>
    <r>
      <rPr>
        <b/>
        <sz val="22"/>
        <color theme="1"/>
        <rFont val="Calibri"/>
        <family val="2"/>
        <scheme val="minor"/>
      </rPr>
      <t xml:space="preserve">252 </t>
    </r>
    <r>
      <rPr>
        <sz val="22"/>
        <color theme="1"/>
        <rFont val="Calibri"/>
        <family val="2"/>
        <scheme val="minor"/>
      </rPr>
      <t xml:space="preserve">son de gentilicio (de 54 metadatos) y </t>
    </r>
    <r>
      <rPr>
        <b/>
        <sz val="22"/>
        <color theme="1"/>
        <rFont val="Calibri"/>
        <family val="2"/>
        <scheme val="minor"/>
      </rPr>
      <t>1165</t>
    </r>
    <r>
      <rPr>
        <sz val="22"/>
        <color theme="1"/>
        <rFont val="Calibri"/>
        <family val="2"/>
        <scheme val="minor"/>
      </rPr>
      <t xml:space="preserve"> son de grupos sociales (de 215 metadatos)</t>
    </r>
  </si>
  <si>
    <r>
      <t xml:space="preserve">TOTAL DE MENCIONES: </t>
    </r>
    <r>
      <rPr>
        <b/>
        <sz val="22"/>
        <color theme="1"/>
        <rFont val="Calibri"/>
        <family val="2"/>
        <scheme val="minor"/>
      </rPr>
      <t xml:space="preserve">1417 </t>
    </r>
    <r>
      <rPr>
        <sz val="22"/>
        <color theme="1"/>
        <rFont val="Calibri"/>
        <family val="2"/>
        <scheme val="minor"/>
      </rPr>
      <t xml:space="preserve">(de 269 metadatos) </t>
    </r>
  </si>
  <si>
    <t>Relación metadatos con sus  menciones (269 para 1417)</t>
  </si>
  <si>
    <t>MENDIGO</t>
  </si>
  <si>
    <t>VAGABUNDO</t>
  </si>
  <si>
    <t>ANDALUZ</t>
  </si>
  <si>
    <t>SEVILLANO</t>
  </si>
  <si>
    <t>GRANADINO</t>
  </si>
  <si>
    <t>MALAGUEÑO</t>
  </si>
  <si>
    <t>CORDOBÉS</t>
  </si>
  <si>
    <r>
      <t xml:space="preserve">22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135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</si>
  <si>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42 </t>
    </r>
    <r>
      <rPr>
        <sz val="12"/>
        <rFont val="Calibri"/>
        <family val="2"/>
        <scheme val="minor"/>
      </rPr>
      <t>menciones</t>
    </r>
  </si>
  <si>
    <r>
      <t xml:space="preserve">17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73 </t>
    </r>
    <r>
      <rPr>
        <sz val="12"/>
        <rFont val="Calibri"/>
        <family val="2"/>
        <scheme val="minor"/>
      </rPr>
      <t>menciones</t>
    </r>
  </si>
  <si>
    <r>
      <t>12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66 </t>
    </r>
    <r>
      <rPr>
        <sz val="12"/>
        <rFont val="Calibri"/>
        <family val="2"/>
        <scheme val="minor"/>
      </rPr>
      <t>menciones</t>
    </r>
  </si>
  <si>
    <r>
      <t xml:space="preserve">28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169 </t>
    </r>
    <r>
      <rPr>
        <sz val="12"/>
        <rFont val="Calibri"/>
        <family val="2"/>
        <scheme val="minor"/>
      </rPr>
      <t>menciones</t>
    </r>
  </si>
  <si>
    <r>
      <t xml:space="preserve">21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197 </t>
    </r>
    <r>
      <rPr>
        <sz val="12"/>
        <rFont val="Calibri"/>
        <family val="2"/>
        <scheme val="minor"/>
      </rPr>
      <t>menciones</t>
    </r>
  </si>
  <si>
    <r>
      <t xml:space="preserve">27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138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</si>
  <si>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74 </t>
    </r>
    <r>
      <rPr>
        <sz val="12"/>
        <rFont val="Calibri"/>
        <family val="2"/>
        <scheme val="minor"/>
      </rPr>
      <t>menciones</t>
    </r>
  </si>
  <si>
    <r>
      <t xml:space="preserve">10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52 </t>
    </r>
    <r>
      <rPr>
        <sz val="12"/>
        <rFont val="Calibri"/>
        <family val="2"/>
        <scheme val="minor"/>
      </rPr>
      <t>menciones</t>
    </r>
  </si>
  <si>
    <r>
      <t xml:space="preserve">14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55 </t>
    </r>
    <r>
      <rPr>
        <sz val="12"/>
        <rFont val="Calibri"/>
        <family val="2"/>
        <scheme val="minor"/>
      </rPr>
      <t>menciones</t>
    </r>
  </si>
  <si>
    <r>
      <t xml:space="preserve">13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>46</t>
    </r>
    <r>
      <rPr>
        <sz val="12"/>
        <rFont val="Calibri"/>
        <family val="2"/>
        <scheme val="minor"/>
      </rPr>
      <t xml:space="preserve"> menciones</t>
    </r>
  </si>
  <si>
    <r>
      <t xml:space="preserve">23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89 </t>
    </r>
    <r>
      <rPr>
        <sz val="12"/>
        <rFont val="Calibri"/>
        <family val="2"/>
        <scheme val="minor"/>
      </rPr>
      <t>menciones</t>
    </r>
  </si>
  <si>
    <r>
      <t xml:space="preserve">16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50 </t>
    </r>
    <r>
      <rPr>
        <sz val="12"/>
        <rFont val="Calibri"/>
        <family val="2"/>
        <scheme val="minor"/>
      </rPr>
      <t>menciones</t>
    </r>
  </si>
  <si>
    <r>
      <t xml:space="preserve">24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168 </t>
    </r>
    <r>
      <rPr>
        <sz val="12"/>
        <rFont val="Calibri"/>
        <family val="2"/>
        <scheme val="minor"/>
      </rPr>
      <t>menciones</t>
    </r>
  </si>
  <si>
    <r>
      <t xml:space="preserve">16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63 </t>
    </r>
    <r>
      <rPr>
        <sz val="12"/>
        <rFont val="Calibri"/>
        <family val="2"/>
        <scheme val="minor"/>
      </rPr>
      <t>menciones</t>
    </r>
  </si>
  <si>
    <t>CAMPESINO</t>
  </si>
  <si>
    <t>peasant</t>
  </si>
  <si>
    <t>peasants</t>
  </si>
  <si>
    <t>GUARDIA CIVIL</t>
  </si>
  <si>
    <t>civil guard</t>
  </si>
  <si>
    <t>CIGARRERAS</t>
  </si>
  <si>
    <t>cigarette-makers</t>
  </si>
  <si>
    <t>makers</t>
  </si>
  <si>
    <t>PASTOR</t>
  </si>
  <si>
    <t>shepherd</t>
  </si>
  <si>
    <t>shepherds</t>
  </si>
  <si>
    <t>TORERO</t>
  </si>
  <si>
    <t>toreros</t>
  </si>
  <si>
    <t>VENDEDOR</t>
  </si>
  <si>
    <t>seller</t>
  </si>
  <si>
    <t>pastor</t>
  </si>
  <si>
    <t>sellers</t>
  </si>
  <si>
    <t>torero</t>
  </si>
  <si>
    <t>sereno</t>
  </si>
  <si>
    <t>serenos</t>
  </si>
  <si>
    <t>gaanderos</t>
  </si>
  <si>
    <t>picador</t>
  </si>
  <si>
    <t>barber</t>
  </si>
  <si>
    <t>ganadero</t>
  </si>
  <si>
    <t>cantaor</t>
  </si>
  <si>
    <t>cantaores</t>
  </si>
  <si>
    <t>cantaora</t>
  </si>
  <si>
    <t>cantaoras</t>
  </si>
  <si>
    <t>breeders</t>
  </si>
  <si>
    <t>miura</t>
  </si>
  <si>
    <t>banderillero</t>
  </si>
  <si>
    <r>
      <t xml:space="preserve">16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36 </t>
    </r>
    <r>
      <rPr>
        <sz val="12"/>
        <rFont val="Calibri"/>
        <family val="2"/>
        <scheme val="minor"/>
      </rPr>
      <t>menciones</t>
    </r>
  </si>
  <si>
    <t>muleeter</t>
  </si>
  <si>
    <t>banderilleros</t>
  </si>
  <si>
    <t>fishers</t>
  </si>
  <si>
    <r>
      <t xml:space="preserve">20 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96 </t>
    </r>
    <r>
      <rPr>
        <sz val="12"/>
        <rFont val="Calibri"/>
        <family val="2"/>
        <scheme val="minor"/>
      </rPr>
      <t>menciones</t>
    </r>
  </si>
  <si>
    <t>posadero</t>
  </si>
  <si>
    <t>picadores</t>
  </si>
  <si>
    <t>barbers</t>
  </si>
  <si>
    <t>baliff</t>
  </si>
  <si>
    <t>alguacil</t>
  </si>
  <si>
    <t>cigarrera</t>
  </si>
  <si>
    <t>watchmen</t>
  </si>
  <si>
    <t>alguaciles</t>
  </si>
  <si>
    <t>barbero</t>
  </si>
  <si>
    <r>
      <t xml:space="preserve">21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72 </t>
    </r>
    <r>
      <rPr>
        <sz val="12"/>
        <rFont val="Calibri"/>
        <family val="2"/>
        <scheme val="minor"/>
      </rPr>
      <t>menciones</t>
    </r>
  </si>
  <si>
    <t>picdors</t>
  </si>
  <si>
    <t>fisherman</t>
  </si>
  <si>
    <t>maker</t>
  </si>
  <si>
    <t>watchman</t>
  </si>
  <si>
    <r>
      <t xml:space="preserve">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5 </t>
    </r>
    <r>
      <rPr>
        <sz val="12"/>
        <rFont val="Calibri"/>
        <family val="2"/>
        <scheme val="minor"/>
      </rPr>
      <t>menciones</t>
    </r>
  </si>
  <si>
    <r>
      <t xml:space="preserve">16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34 </t>
    </r>
    <r>
      <rPr>
        <sz val="12"/>
        <rFont val="Calibri"/>
        <family val="2"/>
        <scheme val="minor"/>
      </rPr>
      <t>menciones</t>
    </r>
  </si>
  <si>
    <t>fritter</t>
  </si>
  <si>
    <t>frtitters</t>
  </si>
  <si>
    <r>
      <t xml:space="preserve">4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4 </t>
    </r>
    <r>
      <rPr>
        <sz val="12"/>
        <rFont val="Calibri"/>
        <family val="2"/>
        <scheme val="minor"/>
      </rPr>
      <t>menciones</t>
    </r>
  </si>
  <si>
    <t>Guardia civil</t>
  </si>
  <si>
    <r>
      <t xml:space="preserve">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28 </t>
    </r>
    <r>
      <rPr>
        <sz val="12"/>
        <rFont val="Calibri"/>
        <family val="2"/>
        <scheme val="minor"/>
      </rPr>
      <t>menciones</t>
    </r>
  </si>
  <si>
    <t>cigarreras</t>
  </si>
  <si>
    <t>innkepers</t>
  </si>
  <si>
    <r>
      <t xml:space="preserve">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>12</t>
    </r>
    <r>
      <rPr>
        <sz val="12"/>
        <rFont val="Calibri"/>
        <family val="2"/>
        <scheme val="minor"/>
      </rPr>
      <t xml:space="preserve"> menciones</t>
    </r>
  </si>
  <si>
    <t>arriero</t>
  </si>
  <si>
    <t>arrieros</t>
  </si>
  <si>
    <t>bullfighter</t>
  </si>
  <si>
    <t>bullfighters</t>
  </si>
  <si>
    <r>
      <t xml:space="preserve">21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56 </t>
    </r>
    <r>
      <rPr>
        <sz val="12"/>
        <rFont val="Calibri"/>
        <family val="2"/>
        <scheme val="minor"/>
      </rPr>
      <t>menciones</t>
    </r>
  </si>
  <si>
    <t>muleeters</t>
  </si>
  <si>
    <r>
      <t xml:space="preserve">12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28 </t>
    </r>
    <r>
      <rPr>
        <sz val="12"/>
        <rFont val="Calibri"/>
        <family val="2"/>
        <scheme val="minor"/>
      </rPr>
      <t>menciones</t>
    </r>
  </si>
  <si>
    <t>innkeper</t>
  </si>
  <si>
    <r>
      <t xml:space="preserve">13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35 </t>
    </r>
    <r>
      <rPr>
        <sz val="12"/>
        <rFont val="Calibri"/>
        <family val="2"/>
        <scheme val="minor"/>
      </rPr>
      <t>menciones</t>
    </r>
  </si>
  <si>
    <r>
      <t xml:space="preserve">12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>28</t>
    </r>
    <r>
      <rPr>
        <sz val="12"/>
        <rFont val="Calibri"/>
        <family val="2"/>
        <scheme val="minor"/>
      </rPr>
      <t xml:space="preserve"> menciones</t>
    </r>
  </si>
  <si>
    <t>Relación metadatos con sus  menciones (182 para 490)</t>
  </si>
  <si>
    <r>
      <t xml:space="preserve">TOTAL DE MENCIONES: </t>
    </r>
    <r>
      <rPr>
        <b/>
        <sz val="22"/>
        <color theme="1"/>
        <rFont val="Calibri"/>
        <family val="2"/>
        <scheme val="minor"/>
      </rPr>
      <t xml:space="preserve">490 </t>
    </r>
    <r>
      <rPr>
        <sz val="22"/>
        <color theme="1"/>
        <rFont val="Calibri"/>
        <family val="2"/>
        <scheme val="minor"/>
      </rPr>
      <t xml:space="preserve">(de 182 metadatos) </t>
    </r>
  </si>
  <si>
    <t>TOREO</t>
  </si>
  <si>
    <t>MATADOR</t>
  </si>
  <si>
    <t>PICADOR</t>
  </si>
  <si>
    <t>BANDERILLERO</t>
  </si>
  <si>
    <t>CUADRILLA</t>
  </si>
  <si>
    <t>Y</t>
  </si>
  <si>
    <t>CAMPO  Y CIUDAD</t>
  </si>
  <si>
    <t>GANADERO</t>
  </si>
  <si>
    <t>AGUADOR</t>
  </si>
  <si>
    <t>GARDENER</t>
  </si>
  <si>
    <t>HACEDOR</t>
  </si>
  <si>
    <t>ARRIEROS</t>
  </si>
  <si>
    <t>BARBERO</t>
  </si>
  <si>
    <t>POSADERO</t>
  </si>
  <si>
    <t>PESCADOR</t>
  </si>
  <si>
    <t>CANTAOR</t>
  </si>
  <si>
    <t>BUÑOLERO</t>
  </si>
  <si>
    <t>PEINADORA</t>
  </si>
  <si>
    <t>MILKMAN</t>
  </si>
  <si>
    <t>SEGURIDAD</t>
  </si>
  <si>
    <t>D</t>
  </si>
  <si>
    <t>SERENOS</t>
  </si>
  <si>
    <t>ALGUACIL</t>
  </si>
  <si>
    <t>M</t>
  </si>
  <si>
    <r>
      <t xml:space="preserve">14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39 </t>
    </r>
    <r>
      <rPr>
        <sz val="12"/>
        <rFont val="Calibri"/>
        <family val="2"/>
        <scheme val="minor"/>
      </rPr>
      <t>menciones</t>
    </r>
  </si>
  <si>
    <r>
      <t xml:space="preserve">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12 </t>
    </r>
    <r>
      <rPr>
        <sz val="12"/>
        <rFont val="Calibri"/>
        <family val="2"/>
        <scheme val="minor"/>
      </rPr>
      <t>menciones</t>
    </r>
  </si>
  <si>
    <r>
      <rPr>
        <b/>
        <sz val="22"/>
        <color theme="1"/>
        <rFont val="Calibri"/>
        <family val="2"/>
        <scheme val="minor"/>
      </rPr>
      <t xml:space="preserve">176 </t>
    </r>
    <r>
      <rPr>
        <sz val="22"/>
        <color theme="1"/>
        <rFont val="Calibri"/>
        <family val="2"/>
        <scheme val="minor"/>
      </rPr>
      <t xml:space="preserve">son del toreo (de 52 metadatos), </t>
    </r>
    <r>
      <rPr>
        <b/>
        <sz val="22"/>
        <color theme="1"/>
        <rFont val="Calibri"/>
        <family val="2"/>
        <scheme val="minor"/>
      </rPr>
      <t>254</t>
    </r>
    <r>
      <rPr>
        <sz val="22"/>
        <color theme="1"/>
        <rFont val="Calibri"/>
        <family val="2"/>
        <scheme val="minor"/>
      </rPr>
      <t xml:space="preserve"> son de campo y ciudad (de 105 metadatos) y</t>
    </r>
    <r>
      <rPr>
        <b/>
        <sz val="22"/>
        <color theme="1"/>
        <rFont val="Calibri"/>
        <family val="2"/>
        <scheme val="minor"/>
      </rPr>
      <t xml:space="preserve"> 60 </t>
    </r>
    <r>
      <rPr>
        <sz val="22"/>
        <color theme="1"/>
        <rFont val="Calibri"/>
        <family val="2"/>
        <scheme val="minor"/>
      </rPr>
      <t>son de seguridad (de 25 metadatos)</t>
    </r>
  </si>
  <si>
    <t>COTIDIANO</t>
  </si>
  <si>
    <t>F</t>
  </si>
  <si>
    <t>peagant</t>
  </si>
  <si>
    <t>feria</t>
  </si>
  <si>
    <t>fair</t>
  </si>
  <si>
    <t>bull-fight</t>
  </si>
  <si>
    <t>bull-fights</t>
  </si>
  <si>
    <t>holy week</t>
  </si>
  <si>
    <t>carnival</t>
  </si>
  <si>
    <t>cofradia</t>
  </si>
  <si>
    <t>casetas</t>
  </si>
  <si>
    <t>paso</t>
  </si>
  <si>
    <t>passion week</t>
  </si>
  <si>
    <t>dance</t>
  </si>
  <si>
    <t>cofradias</t>
  </si>
  <si>
    <t>Semana santa</t>
  </si>
  <si>
    <t>pasos</t>
  </si>
  <si>
    <t>toros</t>
  </si>
  <si>
    <t>toro</t>
  </si>
  <si>
    <t>caseta</t>
  </si>
  <si>
    <t>coplas</t>
  </si>
  <si>
    <t>bull-fighting</t>
  </si>
  <si>
    <t>promenades</t>
  </si>
  <si>
    <t>conversation</t>
  </si>
  <si>
    <r>
      <t xml:space="preserve">26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152 </t>
    </r>
    <r>
      <rPr>
        <sz val="12"/>
        <rFont val="Calibri"/>
        <family val="2"/>
        <scheme val="minor"/>
      </rPr>
      <t>menciones</t>
    </r>
  </si>
  <si>
    <t>flamenco</t>
  </si>
  <si>
    <t>bullfight</t>
  </si>
  <si>
    <t>bolero</t>
  </si>
  <si>
    <t>fandango</t>
  </si>
  <si>
    <t>carnaval</t>
  </si>
  <si>
    <t>ferias</t>
  </si>
  <si>
    <t>fairs</t>
  </si>
  <si>
    <t>novillada</t>
  </si>
  <si>
    <t>novilladas</t>
  </si>
  <si>
    <t>encierro</t>
  </si>
  <si>
    <t>encierros</t>
  </si>
  <si>
    <t>bullfighting</t>
  </si>
  <si>
    <t>bullfights</t>
  </si>
  <si>
    <t>flamencos</t>
  </si>
  <si>
    <t>copla</t>
  </si>
  <si>
    <r>
      <t xml:space="preserve">26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65 </t>
    </r>
    <r>
      <rPr>
        <sz val="12"/>
        <rFont val="Calibri"/>
        <family val="2"/>
        <scheme val="minor"/>
      </rPr>
      <t>menciones</t>
    </r>
  </si>
  <si>
    <r>
      <t xml:space="preserve">9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21 </t>
    </r>
    <r>
      <rPr>
        <sz val="12"/>
        <rFont val="Calibri"/>
        <family val="2"/>
        <scheme val="minor"/>
      </rPr>
      <t>menciones</t>
    </r>
  </si>
  <si>
    <t>gathering</t>
  </si>
  <si>
    <r>
      <t>11</t>
    </r>
    <r>
      <rPr>
        <sz val="12"/>
        <rFont val="Calibri"/>
        <family val="2"/>
        <scheme val="minor"/>
      </rPr>
      <t xml:space="preserve"> metadatos para</t>
    </r>
    <r>
      <rPr>
        <b/>
        <sz val="12"/>
        <rFont val="Calibri"/>
        <family val="2"/>
        <scheme val="minor"/>
      </rPr>
      <t xml:space="preserve"> 64 </t>
    </r>
    <r>
      <rPr>
        <sz val="12"/>
        <rFont val="Calibri"/>
        <family val="2"/>
        <scheme val="minor"/>
      </rPr>
      <t>menciones</t>
    </r>
  </si>
  <si>
    <t>promenade</t>
  </si>
  <si>
    <t>flamenca</t>
  </si>
  <si>
    <t>boleros</t>
  </si>
  <si>
    <t>fandangos</t>
  </si>
  <si>
    <r>
      <t xml:space="preserve">22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75 </t>
    </r>
    <r>
      <rPr>
        <sz val="12"/>
        <rFont val="Calibri"/>
        <family val="2"/>
        <scheme val="minor"/>
      </rPr>
      <t>menciones</t>
    </r>
  </si>
  <si>
    <t>tertulia</t>
  </si>
  <si>
    <t>conversations</t>
  </si>
  <si>
    <r>
      <t xml:space="preserve">21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45 </t>
    </r>
    <r>
      <rPr>
        <sz val="12"/>
        <rFont val="Calibri"/>
        <family val="2"/>
        <scheme val="minor"/>
      </rPr>
      <t>menciones</t>
    </r>
  </si>
  <si>
    <r>
      <t xml:space="preserve">20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91 </t>
    </r>
    <r>
      <rPr>
        <sz val="12"/>
        <rFont val="Calibri"/>
        <family val="2"/>
        <scheme val="minor"/>
      </rPr>
      <t>menciones</t>
    </r>
  </si>
  <si>
    <r>
      <t xml:space="preserve">8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10 </t>
    </r>
    <r>
      <rPr>
        <sz val="12"/>
        <rFont val="Calibri"/>
        <family val="2"/>
        <scheme val="minor"/>
      </rPr>
      <t>menciones</t>
    </r>
  </si>
  <si>
    <t>baile</t>
  </si>
  <si>
    <r>
      <t xml:space="preserve">10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25 </t>
    </r>
    <r>
      <rPr>
        <sz val="12"/>
        <rFont val="Calibri"/>
        <family val="2"/>
        <scheme val="minor"/>
      </rPr>
      <t>menciones</t>
    </r>
  </si>
  <si>
    <t>procession</t>
  </si>
  <si>
    <t>gatherings</t>
  </si>
  <si>
    <r>
      <t xml:space="preserve">16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38 </t>
    </r>
    <r>
      <rPr>
        <sz val="12"/>
        <rFont val="Calibri"/>
        <family val="2"/>
        <scheme val="minor"/>
      </rPr>
      <t>menciones</t>
    </r>
  </si>
  <si>
    <t>tertulias</t>
  </si>
  <si>
    <r>
      <t xml:space="preserve">15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>51</t>
    </r>
    <r>
      <rPr>
        <sz val="12"/>
        <rFont val="Calibri"/>
        <family val="2"/>
        <scheme val="minor"/>
      </rPr>
      <t xml:space="preserve"> menciones</t>
    </r>
  </si>
  <si>
    <t>bullring</t>
  </si>
  <si>
    <r>
      <t xml:space="preserve">17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39 </t>
    </r>
    <r>
      <rPr>
        <sz val="12"/>
        <rFont val="Calibri"/>
        <family val="2"/>
        <scheme val="minor"/>
      </rPr>
      <t>menciones</t>
    </r>
  </si>
  <si>
    <t>flamencas</t>
  </si>
  <si>
    <r>
      <t xml:space="preserve">15 </t>
    </r>
    <r>
      <rPr>
        <sz val="12"/>
        <rFont val="Calibri"/>
        <family val="2"/>
        <scheme val="minor"/>
      </rPr>
      <t>metadatos para</t>
    </r>
    <r>
      <rPr>
        <b/>
        <sz val="12"/>
        <rFont val="Calibri"/>
        <family val="2"/>
        <scheme val="minor"/>
      </rPr>
      <t xml:space="preserve"> 39 </t>
    </r>
    <r>
      <rPr>
        <sz val="12"/>
        <rFont val="Calibri"/>
        <family val="2"/>
        <scheme val="minor"/>
      </rPr>
      <t>menciones</t>
    </r>
  </si>
  <si>
    <r>
      <t xml:space="preserve">25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82 </t>
    </r>
    <r>
      <rPr>
        <sz val="12"/>
        <rFont val="Calibri"/>
        <family val="2"/>
        <scheme val="minor"/>
      </rPr>
      <t>menciones</t>
    </r>
  </si>
  <si>
    <r>
      <t xml:space="preserve">6 </t>
    </r>
    <r>
      <rPr>
        <sz val="12"/>
        <rFont val="Calibri"/>
        <family val="2"/>
        <scheme val="minor"/>
      </rPr>
      <t xml:space="preserve">metadatos para </t>
    </r>
    <r>
      <rPr>
        <b/>
        <sz val="12"/>
        <rFont val="Calibri"/>
        <family val="2"/>
        <scheme val="minor"/>
      </rPr>
      <t xml:space="preserve">19 </t>
    </r>
    <r>
      <rPr>
        <sz val="12"/>
        <rFont val="Calibri"/>
        <family val="2"/>
        <scheme val="minor"/>
      </rPr>
      <t>menciones</t>
    </r>
  </si>
  <si>
    <t>Relación metadatos con sus  menciones (247 para 816)</t>
  </si>
  <si>
    <r>
      <rPr>
        <b/>
        <sz val="22"/>
        <color theme="1"/>
        <rFont val="Calibri"/>
        <family val="2"/>
        <scheme val="minor"/>
      </rPr>
      <t xml:space="preserve">186 </t>
    </r>
    <r>
      <rPr>
        <sz val="22"/>
        <color theme="1"/>
        <rFont val="Calibri"/>
        <family val="2"/>
        <scheme val="minor"/>
      </rPr>
      <t xml:space="preserve">son del toreo (de 69 metadatos) y </t>
    </r>
    <r>
      <rPr>
        <b/>
        <sz val="22"/>
        <color theme="1"/>
        <rFont val="Calibri"/>
        <family val="2"/>
        <scheme val="minor"/>
      </rPr>
      <t>337</t>
    </r>
    <r>
      <rPr>
        <sz val="22"/>
        <color theme="1"/>
        <rFont val="Calibri"/>
        <family val="2"/>
        <scheme val="minor"/>
      </rPr>
      <t xml:space="preserve"> son deferia y carnaval (de 82 metadatos),</t>
    </r>
    <r>
      <rPr>
        <b/>
        <sz val="22"/>
        <color theme="1"/>
        <rFont val="Calibri"/>
        <family val="2"/>
        <scheme val="minor"/>
      </rPr>
      <t xml:space="preserve"> 203</t>
    </r>
    <r>
      <rPr>
        <sz val="22"/>
        <color theme="1"/>
        <rFont val="Calibri"/>
        <family val="2"/>
        <scheme val="minor"/>
      </rPr>
      <t xml:space="preserve"> son de religión (de 53 metadatos) y </t>
    </r>
    <r>
      <rPr>
        <b/>
        <sz val="22"/>
        <color theme="1"/>
        <rFont val="Calibri"/>
        <family val="2"/>
        <scheme val="minor"/>
      </rPr>
      <t>90</t>
    </r>
    <r>
      <rPr>
        <sz val="22"/>
        <color theme="1"/>
        <rFont val="Calibri"/>
        <family val="2"/>
        <scheme val="minor"/>
      </rPr>
      <t xml:space="preserve"> cotidiano (de 43 metadatos)</t>
    </r>
  </si>
  <si>
    <r>
      <t xml:space="preserve">TOTAL DE MENCIONES: </t>
    </r>
    <r>
      <rPr>
        <b/>
        <sz val="22"/>
        <color theme="1"/>
        <rFont val="Calibri"/>
        <family val="2"/>
        <scheme val="minor"/>
      </rPr>
      <t xml:space="preserve">816 </t>
    </r>
    <r>
      <rPr>
        <sz val="22"/>
        <color theme="1"/>
        <rFont val="Calibri"/>
        <family val="2"/>
        <scheme val="minor"/>
      </rPr>
      <t xml:space="preserve">(de 247 metadatos) </t>
    </r>
  </si>
  <si>
    <t>TOREAR</t>
  </si>
  <si>
    <t>NOVILLADA</t>
  </si>
  <si>
    <t>ENCIERRO</t>
  </si>
  <si>
    <t>CORRIDA</t>
  </si>
  <si>
    <t>TORO</t>
  </si>
  <si>
    <t>TENDIDO</t>
  </si>
  <si>
    <t>VERONICA</t>
  </si>
  <si>
    <t>FERIA Y CARNAVAL</t>
  </si>
  <si>
    <t>BAILE</t>
  </si>
  <si>
    <t>FERIA</t>
  </si>
  <si>
    <t>CASETA</t>
  </si>
  <si>
    <t>FLAMENCO</t>
  </si>
  <si>
    <t>CARNAVAL</t>
  </si>
  <si>
    <t>BOLERO</t>
  </si>
  <si>
    <t>COPLA</t>
  </si>
  <si>
    <t>SEVILLANAS</t>
  </si>
  <si>
    <t>MALAGUENAS</t>
  </si>
  <si>
    <t>FANDANGO</t>
  </si>
  <si>
    <t>MURGA</t>
  </si>
  <si>
    <t>ZARZUELA</t>
  </si>
  <si>
    <t>PROCESION</t>
  </si>
  <si>
    <t>PASO</t>
  </si>
  <si>
    <t>SEMANA SANTA</t>
  </si>
  <si>
    <t>COFRADIA</t>
  </si>
  <si>
    <t>CORPUS CHRISTI</t>
  </si>
  <si>
    <t>PILIGRIM</t>
  </si>
  <si>
    <t>NAZARENO</t>
  </si>
  <si>
    <t>VIA CRUCIS</t>
  </si>
  <si>
    <t>CONVERSACIONES</t>
  </si>
  <si>
    <t>REUNIÓN</t>
  </si>
  <si>
    <t>LUAGR DONDE SE PASEA</t>
  </si>
  <si>
    <t>STROLL (PASEAR)</t>
  </si>
  <si>
    <t>TERTULIA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</si>
</sst>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8" fillId="0" borderId="44" xfId="1" applyFont="1" applyBorder="1" applyAlignment="1">
      <alignment horizontal="center" vertical="center" wrapText="1"/>
    </xf>
    <xf numFmtId="0" fontId="7" fillId="3" borderId="44" xfId="0" applyFont="1" applyFill="1" applyBorder="1" applyAlignment="1">
      <alignment horizontal="center"/>
    </xf>
    <xf numFmtId="0" fontId="10" fillId="0" borderId="3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8" fillId="0" borderId="46" xfId="1" applyFont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/>
    </xf>
    <xf numFmtId="0" fontId="10" fillId="0" borderId="5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5" fillId="0" borderId="18" xfId="1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8" fillId="0" borderId="51" xfId="1" applyFont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/>
    </xf>
    <xf numFmtId="0" fontId="10" fillId="0" borderId="52" xfId="0" applyFont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/>
    </xf>
    <xf numFmtId="0" fontId="2" fillId="4" borderId="56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4" borderId="56" xfId="0" applyFont="1" applyFill="1" applyBorder="1" applyAlignment="1">
      <alignment horizontal="center" vertical="center"/>
    </xf>
    <xf numFmtId="0" fontId="2" fillId="4" borderId="57" xfId="0" applyFont="1" applyFill="1" applyBorder="1" applyAlignment="1">
      <alignment horizontal="center" vertical="center"/>
    </xf>
    <xf numFmtId="0" fontId="2" fillId="4" borderId="5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5" fillId="4" borderId="61" xfId="1" applyFont="1" applyFill="1" applyBorder="1" applyAlignment="1">
      <alignment horizontal="center" vertical="center" wrapText="1"/>
    </xf>
    <xf numFmtId="0" fontId="10" fillId="6" borderId="3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21" xfId="1" applyFont="1" applyFill="1" applyBorder="1" applyAlignment="1">
      <alignment horizontal="center" vertical="center" wrapText="1"/>
    </xf>
    <xf numFmtId="0" fontId="10" fillId="0" borderId="31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0" fontId="10" fillId="0" borderId="48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8" xfId="1" applyFont="1" applyFill="1" applyBorder="1" applyAlignment="1">
      <alignment horizontal="center" vertical="center" wrapText="1"/>
    </xf>
    <xf numFmtId="0" fontId="10" fillId="0" borderId="9" xfId="1" applyFont="1" applyFill="1" applyBorder="1" applyAlignment="1">
      <alignment horizontal="center" vertical="center" wrapText="1"/>
    </xf>
    <xf numFmtId="0" fontId="10" fillId="0" borderId="19" xfId="1" applyFont="1" applyFill="1" applyBorder="1" applyAlignment="1">
      <alignment horizontal="center" vertical="center" wrapText="1"/>
    </xf>
    <xf numFmtId="0" fontId="10" fillId="0" borderId="50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0" fillId="0" borderId="10" xfId="1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horizontal="center" vertical="center" wrapText="1"/>
    </xf>
    <xf numFmtId="0" fontId="10" fillId="0" borderId="55" xfId="1" applyFont="1" applyFill="1" applyBorder="1" applyAlignment="1">
      <alignment horizontal="center" vertical="center" wrapText="1"/>
    </xf>
    <xf numFmtId="0" fontId="10" fillId="0" borderId="53" xfId="1" applyFont="1" applyFill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17" xfId="1" applyFont="1" applyFill="1" applyBorder="1" applyAlignment="1">
      <alignment horizontal="center" vertical="center" wrapText="1"/>
    </xf>
    <xf numFmtId="0" fontId="10" fillId="0" borderId="18" xfId="1" applyFont="1" applyFill="1" applyBorder="1" applyAlignment="1">
      <alignment horizontal="center" vertical="center" wrapText="1"/>
    </xf>
    <xf numFmtId="0" fontId="10" fillId="0" borderId="23" xfId="1" applyFont="1" applyFill="1" applyBorder="1" applyAlignment="1">
      <alignment horizontal="center" vertical="center" wrapText="1"/>
    </xf>
    <xf numFmtId="0" fontId="10" fillId="0" borderId="28" xfId="1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/>
    </xf>
    <xf numFmtId="0" fontId="10" fillId="6" borderId="6" xfId="1" applyFont="1" applyFill="1" applyBorder="1" applyAlignment="1">
      <alignment horizontal="center" vertical="center" wrapText="1"/>
    </xf>
    <xf numFmtId="0" fontId="10" fillId="6" borderId="9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6" borderId="1" xfId="1" applyFont="1" applyFill="1" applyBorder="1" applyAlignment="1">
      <alignment horizontal="center" vertical="center" wrapText="1"/>
    </xf>
    <xf numFmtId="0" fontId="8" fillId="6" borderId="6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8" fillId="6" borderId="8" xfId="1" applyFont="1" applyFill="1" applyBorder="1" applyAlignment="1">
      <alignment horizontal="center" vertical="center" wrapText="1"/>
    </xf>
    <xf numFmtId="0" fontId="8" fillId="6" borderId="4" xfId="1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10" fillId="6" borderId="48" xfId="1" applyFont="1" applyFill="1" applyBorder="1" applyAlignment="1">
      <alignment horizontal="center" vertical="center" wrapText="1"/>
    </xf>
    <xf numFmtId="0" fontId="10" fillId="6" borderId="16" xfId="1" applyFont="1" applyFill="1" applyBorder="1" applyAlignment="1">
      <alignment horizontal="center" vertical="center" wrapText="1"/>
    </xf>
    <xf numFmtId="0" fontId="10" fillId="6" borderId="55" xfId="1" applyFont="1" applyFill="1" applyBorder="1" applyAlignment="1">
      <alignment horizontal="center" vertical="center" wrapText="1"/>
    </xf>
    <xf numFmtId="0" fontId="10" fillId="6" borderId="21" xfId="1" applyFont="1" applyFill="1" applyBorder="1" applyAlignment="1">
      <alignment horizontal="center" vertical="center" wrapText="1"/>
    </xf>
    <xf numFmtId="0" fontId="10" fillId="6" borderId="19" xfId="1" applyFont="1" applyFill="1" applyBorder="1" applyAlignment="1">
      <alignment horizontal="center" vertical="center" wrapText="1"/>
    </xf>
    <xf numFmtId="0" fontId="10" fillId="6" borderId="50" xfId="1" applyFont="1" applyFill="1" applyBorder="1" applyAlignment="1">
      <alignment horizontal="center" vertical="center" wrapText="1"/>
    </xf>
    <xf numFmtId="0" fontId="8" fillId="6" borderId="48" xfId="1" applyFont="1" applyFill="1" applyBorder="1" applyAlignment="1">
      <alignment horizontal="center" vertical="center" wrapText="1"/>
    </xf>
    <xf numFmtId="0" fontId="8" fillId="6" borderId="16" xfId="1" applyFont="1" applyFill="1" applyBorder="1" applyAlignment="1">
      <alignment horizontal="center" vertical="center" wrapText="1"/>
    </xf>
    <xf numFmtId="0" fontId="8" fillId="6" borderId="21" xfId="1" applyFont="1" applyFill="1" applyBorder="1" applyAlignment="1">
      <alignment horizontal="center" vertical="center" wrapText="1"/>
    </xf>
    <xf numFmtId="0" fontId="10" fillId="0" borderId="45" xfId="1" applyFont="1" applyFill="1" applyBorder="1" applyAlignment="1">
      <alignment horizontal="center" vertical="center" wrapText="1"/>
    </xf>
    <xf numFmtId="0" fontId="10" fillId="0" borderId="49" xfId="1" applyFont="1" applyFill="1" applyBorder="1" applyAlignment="1">
      <alignment horizontal="center" vertical="center" wrapText="1"/>
    </xf>
    <xf numFmtId="0" fontId="10" fillId="0" borderId="52" xfId="1" applyFont="1" applyFill="1" applyBorder="1" applyAlignment="1">
      <alignment horizontal="center" vertical="center" wrapText="1"/>
    </xf>
    <xf numFmtId="0" fontId="10" fillId="0" borderId="54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7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9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0" fillId="6" borderId="2" xfId="1" applyFont="1" applyFill="1" applyBorder="1" applyAlignment="1">
      <alignment horizontal="center" vertical="center" wrapText="1"/>
    </xf>
    <xf numFmtId="0" fontId="10" fillId="6" borderId="7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6" borderId="10" xfId="1" applyFont="1" applyFill="1" applyBorder="1" applyAlignment="1">
      <alignment horizontal="center" vertical="center" wrapText="1"/>
    </xf>
    <xf numFmtId="0" fontId="10" fillId="6" borderId="4" xfId="1" applyFont="1" applyFill="1" applyBorder="1" applyAlignment="1">
      <alignment horizontal="center" vertical="center" wrapText="1"/>
    </xf>
    <xf numFmtId="0" fontId="10" fillId="6" borderId="53" xfId="1" applyFont="1" applyFill="1" applyBorder="1" applyAlignment="1">
      <alignment horizontal="center" vertical="center" wrapText="1"/>
    </xf>
    <xf numFmtId="0" fontId="10" fillId="6" borderId="31" xfId="1" applyFont="1" applyFill="1" applyBorder="1" applyAlignment="1">
      <alignment horizontal="center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40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 wrapText="1"/>
    </xf>
    <xf numFmtId="0" fontId="10" fillId="6" borderId="50" xfId="0" applyFont="1" applyFill="1" applyBorder="1" applyAlignment="1">
      <alignment horizontal="center" vertical="center" wrapText="1"/>
    </xf>
    <xf numFmtId="0" fontId="10" fillId="6" borderId="48" xfId="0" applyFont="1" applyFill="1" applyBorder="1" applyAlignment="1">
      <alignment horizontal="center" vertical="center" wrapText="1"/>
    </xf>
    <xf numFmtId="0" fontId="10" fillId="0" borderId="34" xfId="1" applyFont="1" applyFill="1" applyBorder="1" applyAlignment="1">
      <alignment horizontal="center" vertical="center" wrapText="1"/>
    </xf>
    <xf numFmtId="0" fontId="10" fillId="0" borderId="64" xfId="1" applyFont="1" applyFill="1" applyBorder="1" applyAlignment="1">
      <alignment horizontal="center" vertical="center" wrapText="1"/>
    </xf>
    <xf numFmtId="0" fontId="10" fillId="0" borderId="66" xfId="1" applyFont="1" applyFill="1" applyBorder="1" applyAlignment="1">
      <alignment horizontal="center" vertical="center" wrapText="1"/>
    </xf>
    <xf numFmtId="0" fontId="10" fillId="0" borderId="60" xfId="1" applyFont="1" applyFill="1" applyBorder="1" applyAlignment="1">
      <alignment horizontal="center" vertical="center" wrapText="1"/>
    </xf>
    <xf numFmtId="0" fontId="10" fillId="0" borderId="67" xfId="1" applyFont="1" applyFill="1" applyBorder="1" applyAlignment="1">
      <alignment horizontal="center" vertical="center" wrapText="1"/>
    </xf>
    <xf numFmtId="0" fontId="10" fillId="6" borderId="53" xfId="0" applyFont="1" applyFill="1" applyBorder="1" applyAlignment="1">
      <alignment horizontal="center" vertical="center" wrapText="1"/>
    </xf>
    <xf numFmtId="0" fontId="8" fillId="6" borderId="53" xfId="1" applyFont="1" applyFill="1" applyBorder="1" applyAlignment="1">
      <alignment horizontal="center" vertical="center" wrapText="1"/>
    </xf>
    <xf numFmtId="0" fontId="8" fillId="6" borderId="7" xfId="1" applyFont="1" applyFill="1" applyBorder="1" applyAlignment="1">
      <alignment horizontal="center" vertical="center" wrapText="1"/>
    </xf>
    <xf numFmtId="0" fontId="8" fillId="6" borderId="14" xfId="1" applyFont="1" applyFill="1" applyBorder="1" applyAlignment="1">
      <alignment horizontal="center" vertical="center" wrapText="1"/>
    </xf>
    <xf numFmtId="0" fontId="8" fillId="6" borderId="2" xfId="1" applyFont="1" applyFill="1" applyBorder="1" applyAlignment="1">
      <alignment horizontal="center" vertical="center" wrapText="1"/>
    </xf>
    <xf numFmtId="0" fontId="8" fillId="6" borderId="13" xfId="1" applyFont="1" applyFill="1" applyBorder="1" applyAlignment="1">
      <alignment horizontal="center" vertical="center" wrapText="1"/>
    </xf>
    <xf numFmtId="0" fontId="8" fillId="6" borderId="5" xfId="1" applyFont="1" applyFill="1" applyBorder="1" applyAlignment="1">
      <alignment horizontal="center" vertical="center" wrapText="1"/>
    </xf>
    <xf numFmtId="0" fontId="8" fillId="6" borderId="19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7" xfId="1" applyFont="1" applyFill="1" applyBorder="1" applyAlignment="1">
      <alignment horizontal="center" vertical="center" wrapText="1"/>
    </xf>
    <xf numFmtId="0" fontId="8" fillId="6" borderId="66" xfId="1" applyFont="1" applyFill="1" applyBorder="1" applyAlignment="1">
      <alignment horizontal="center" vertical="center" wrapText="1"/>
    </xf>
    <xf numFmtId="0" fontId="8" fillId="6" borderId="31" xfId="1" applyFont="1" applyFill="1" applyBorder="1" applyAlignment="1">
      <alignment horizontal="center" vertical="center" wrapText="1"/>
    </xf>
    <xf numFmtId="0" fontId="8" fillId="6" borderId="48" xfId="0" applyFont="1" applyFill="1" applyBorder="1" applyAlignment="1">
      <alignment horizontal="center" vertical="center" wrapText="1"/>
    </xf>
    <xf numFmtId="0" fontId="8" fillId="6" borderId="49" xfId="0" applyFont="1" applyFill="1" applyBorder="1" applyAlignment="1">
      <alignment horizontal="center" vertical="center" wrapText="1"/>
    </xf>
    <xf numFmtId="0" fontId="0" fillId="0" borderId="39" xfId="0" applyBorder="1"/>
    <xf numFmtId="0" fontId="2" fillId="4" borderId="2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20" xfId="1" applyFont="1" applyFill="1" applyBorder="1" applyAlignment="1">
      <alignment horizontal="center" vertical="center" wrapText="1"/>
    </xf>
    <xf numFmtId="0" fontId="10" fillId="0" borderId="15" xfId="1" applyFont="1" applyFill="1" applyBorder="1" applyAlignment="1">
      <alignment horizontal="center" vertical="center" wrapText="1"/>
    </xf>
    <xf numFmtId="0" fontId="10" fillId="0" borderId="68" xfId="1" applyFont="1" applyFill="1" applyBorder="1" applyAlignment="1">
      <alignment horizontal="center" vertical="center" wrapText="1"/>
    </xf>
    <xf numFmtId="0" fontId="10" fillId="0" borderId="59" xfId="1" applyFont="1" applyFill="1" applyBorder="1" applyAlignment="1">
      <alignment horizontal="center" vertical="center" wrapText="1"/>
    </xf>
    <xf numFmtId="0" fontId="10" fillId="0" borderId="69" xfId="1" applyFont="1" applyFill="1" applyBorder="1" applyAlignment="1">
      <alignment horizontal="center" vertical="center" wrapText="1"/>
    </xf>
    <xf numFmtId="0" fontId="8" fillId="0" borderId="15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52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16" fillId="6" borderId="31" xfId="1" applyFont="1" applyFill="1" applyBorder="1" applyAlignment="1">
      <alignment horizontal="center" vertical="center" wrapText="1"/>
    </xf>
    <xf numFmtId="0" fontId="17" fillId="0" borderId="45" xfId="1" applyFont="1" applyFill="1" applyBorder="1" applyAlignment="1">
      <alignment horizontal="center" vertical="center" wrapText="1"/>
    </xf>
    <xf numFmtId="0" fontId="17" fillId="6" borderId="2" xfId="1" applyFont="1" applyFill="1" applyBorder="1" applyAlignment="1">
      <alignment horizontal="center" vertical="center" wrapText="1"/>
    </xf>
    <xf numFmtId="0" fontId="17" fillId="0" borderId="3" xfId="1" applyFont="1" applyFill="1" applyBorder="1" applyAlignment="1">
      <alignment horizontal="center" vertical="center" wrapText="1"/>
    </xf>
    <xf numFmtId="0" fontId="17" fillId="0" borderId="2" xfId="1" applyFont="1" applyFill="1" applyBorder="1" applyAlignment="1">
      <alignment horizontal="center" vertical="center" wrapText="1"/>
    </xf>
    <xf numFmtId="0" fontId="16" fillId="6" borderId="45" xfId="1" applyFont="1" applyFill="1" applyBorder="1" applyAlignment="1">
      <alignment horizontal="center" vertical="center" wrapText="1"/>
    </xf>
    <xf numFmtId="0" fontId="16" fillId="0" borderId="31" xfId="1" applyFont="1" applyFill="1" applyBorder="1" applyAlignment="1">
      <alignment horizontal="center" vertical="center" wrapText="1"/>
    </xf>
    <xf numFmtId="0" fontId="17" fillId="0" borderId="4" xfId="1" applyFont="1" applyFill="1" applyBorder="1" applyAlignment="1">
      <alignment horizontal="center" vertical="center" wrapText="1"/>
    </xf>
    <xf numFmtId="0" fontId="16" fillId="0" borderId="45" xfId="1" applyFont="1" applyFill="1" applyBorder="1" applyAlignment="1">
      <alignment horizontal="center" vertical="center" wrapText="1"/>
    </xf>
    <xf numFmtId="0" fontId="17" fillId="0" borderId="20" xfId="1" applyFont="1" applyFill="1" applyBorder="1" applyAlignment="1">
      <alignment horizontal="center" vertical="center" wrapText="1"/>
    </xf>
    <xf numFmtId="0" fontId="17" fillId="6" borderId="48" xfId="1" applyFont="1" applyFill="1" applyBorder="1" applyAlignment="1">
      <alignment horizontal="center" vertical="center" wrapText="1"/>
    </xf>
    <xf numFmtId="0" fontId="17" fillId="0" borderId="49" xfId="1" applyFont="1" applyFill="1" applyBorder="1" applyAlignment="1">
      <alignment horizontal="center" vertical="center" wrapText="1"/>
    </xf>
    <xf numFmtId="0" fontId="17" fillId="0" borderId="5" xfId="1" applyFont="1" applyFill="1" applyBorder="1" applyAlignment="1">
      <alignment horizontal="center" vertical="center" wrapText="1"/>
    </xf>
    <xf numFmtId="0" fontId="17" fillId="0" borderId="1" xfId="1" applyFont="1" applyFill="1" applyBorder="1" applyAlignment="1">
      <alignment horizontal="center" vertical="center" wrapText="1"/>
    </xf>
    <xf numFmtId="0" fontId="17" fillId="0" borderId="48" xfId="1" applyFont="1" applyFill="1" applyBorder="1" applyAlignment="1">
      <alignment horizontal="center" vertical="center" wrapText="1"/>
    </xf>
    <xf numFmtId="0" fontId="17" fillId="0" borderId="6" xfId="1" applyFont="1" applyFill="1" applyBorder="1" applyAlignment="1">
      <alignment horizontal="center" vertical="center" wrapText="1"/>
    </xf>
    <xf numFmtId="0" fontId="16" fillId="0" borderId="15" xfId="1" applyFont="1" applyFill="1" applyBorder="1" applyAlignment="1">
      <alignment horizontal="center" vertical="center" wrapText="1"/>
    </xf>
    <xf numFmtId="0" fontId="17" fillId="0" borderId="15" xfId="1" applyFont="1" applyFill="1" applyBorder="1" applyAlignment="1">
      <alignment horizontal="center" vertical="center" wrapText="1"/>
    </xf>
    <xf numFmtId="0" fontId="16" fillId="6" borderId="1" xfId="1" applyFont="1" applyFill="1" applyBorder="1" applyAlignment="1">
      <alignment horizontal="center" vertical="center" wrapText="1"/>
    </xf>
    <xf numFmtId="0" fontId="17" fillId="6" borderId="50" xfId="1" applyFont="1" applyFill="1" applyBorder="1" applyAlignment="1">
      <alignment horizontal="center" vertical="center" wrapText="1"/>
    </xf>
    <xf numFmtId="0" fontId="16" fillId="0" borderId="52" xfId="1" applyFont="1" applyFill="1" applyBorder="1" applyAlignment="1">
      <alignment horizontal="center" vertical="center" wrapText="1"/>
    </xf>
    <xf numFmtId="0" fontId="17" fillId="0" borderId="7" xfId="1" applyFont="1" applyFill="1" applyBorder="1" applyAlignment="1">
      <alignment horizontal="center" vertical="center" wrapText="1"/>
    </xf>
    <xf numFmtId="0" fontId="17" fillId="0" borderId="8" xfId="1" applyFont="1" applyFill="1" applyBorder="1" applyAlignment="1">
      <alignment horizontal="center" vertical="center" wrapText="1"/>
    </xf>
    <xf numFmtId="0" fontId="16" fillId="6" borderId="8" xfId="1" applyFont="1" applyFill="1" applyBorder="1" applyAlignment="1">
      <alignment horizontal="center" vertical="center" wrapText="1"/>
    </xf>
    <xf numFmtId="0" fontId="16" fillId="0" borderId="7" xfId="1" applyFont="1" applyFill="1" applyBorder="1" applyAlignment="1">
      <alignment horizontal="center" vertical="center" wrapText="1"/>
    </xf>
    <xf numFmtId="0" fontId="17" fillId="0" borderId="52" xfId="1" applyFont="1" applyFill="1" applyBorder="1" applyAlignment="1">
      <alignment horizontal="center" vertical="center" wrapText="1"/>
    </xf>
    <xf numFmtId="0" fontId="17" fillId="0" borderId="50" xfId="1" applyFont="1" applyFill="1" applyBorder="1" applyAlignment="1">
      <alignment horizontal="center" vertical="center" wrapText="1"/>
    </xf>
    <xf numFmtId="0" fontId="16" fillId="6" borderId="9" xfId="1" applyFont="1" applyFill="1" applyBorder="1" applyAlignment="1">
      <alignment horizontal="center" vertical="center" wrapText="1"/>
    </xf>
    <xf numFmtId="0" fontId="17" fillId="0" borderId="68" xfId="1" applyFont="1" applyFill="1" applyBorder="1" applyAlignment="1">
      <alignment horizontal="center" vertical="center" wrapText="1"/>
    </xf>
    <xf numFmtId="0" fontId="16" fillId="0" borderId="9" xfId="1" applyFont="1" applyFill="1" applyBorder="1" applyAlignment="1">
      <alignment horizontal="center" vertical="center" wrapText="1"/>
    </xf>
    <xf numFmtId="0" fontId="17" fillId="0" borderId="53" xfId="1" applyFont="1" applyFill="1" applyBorder="1" applyAlignment="1">
      <alignment horizontal="center" vertical="center" wrapText="1"/>
    </xf>
    <xf numFmtId="0" fontId="17" fillId="0" borderId="54" xfId="1" applyFont="1" applyFill="1" applyBorder="1" applyAlignment="1">
      <alignment horizontal="center" vertical="center" wrapText="1"/>
    </xf>
    <xf numFmtId="0" fontId="17" fillId="0" borderId="13" xfId="1" applyFont="1" applyFill="1" applyBorder="1" applyAlignment="1">
      <alignment horizontal="center" vertical="center" wrapText="1"/>
    </xf>
    <xf numFmtId="0" fontId="17" fillId="0" borderId="10" xfId="1" applyFont="1" applyFill="1" applyBorder="1" applyAlignment="1">
      <alignment horizontal="center" vertical="center" wrapText="1"/>
    </xf>
    <xf numFmtId="0" fontId="17" fillId="0" borderId="14" xfId="1" applyFont="1" applyFill="1" applyBorder="1" applyAlignment="1">
      <alignment horizontal="center" vertical="center" wrapText="1"/>
    </xf>
    <xf numFmtId="0" fontId="17" fillId="0" borderId="59" xfId="1" applyFont="1" applyFill="1" applyBorder="1" applyAlignment="1">
      <alignment horizontal="center" vertical="center" wrapText="1"/>
    </xf>
    <xf numFmtId="0" fontId="16" fillId="6" borderId="49" xfId="1" applyFont="1" applyFill="1" applyBorder="1" applyAlignment="1">
      <alignment horizontal="center" vertical="center" wrapText="1"/>
    </xf>
    <xf numFmtId="0" fontId="16" fillId="0" borderId="1" xfId="1" applyFont="1" applyFill="1" applyBorder="1" applyAlignment="1">
      <alignment horizontal="center" vertical="center" wrapText="1"/>
    </xf>
    <xf numFmtId="0" fontId="17" fillId="0" borderId="28" xfId="1" applyFont="1" applyFill="1" applyBorder="1" applyAlignment="1">
      <alignment horizontal="center" vertical="center" wrapText="1"/>
    </xf>
    <xf numFmtId="0" fontId="17" fillId="0" borderId="41" xfId="1" applyFont="1" applyFill="1" applyBorder="1" applyAlignment="1">
      <alignment horizontal="center" vertical="center" wrapText="1"/>
    </xf>
    <xf numFmtId="0" fontId="17" fillId="0" borderId="40" xfId="1" applyFont="1" applyFill="1" applyBorder="1" applyAlignment="1">
      <alignment horizontal="center" vertical="center" wrapText="1"/>
    </xf>
    <xf numFmtId="0" fontId="17" fillId="0" borderId="17" xfId="1" applyFont="1" applyFill="1" applyBorder="1" applyAlignment="1">
      <alignment horizontal="center" vertical="center" wrapText="1"/>
    </xf>
    <xf numFmtId="0" fontId="17" fillId="0" borderId="18" xfId="1" applyFont="1" applyFill="1" applyBorder="1" applyAlignment="1">
      <alignment horizontal="center" vertical="center" wrapText="1"/>
    </xf>
    <xf numFmtId="0" fontId="17" fillId="0" borderId="69" xfId="1" applyFont="1" applyFill="1" applyBorder="1" applyAlignment="1">
      <alignment horizontal="center" vertical="center" wrapText="1"/>
    </xf>
    <xf numFmtId="0" fontId="17" fillId="0" borderId="31" xfId="1" applyFont="1" applyFill="1" applyBorder="1" applyAlignment="1">
      <alignment horizontal="center" vertical="center" wrapText="1"/>
    </xf>
    <xf numFmtId="0" fontId="17" fillId="6" borderId="45" xfId="1" applyFont="1" applyFill="1" applyBorder="1" applyAlignment="1">
      <alignment horizontal="center" vertical="center" wrapText="1"/>
    </xf>
    <xf numFmtId="0" fontId="16" fillId="0" borderId="6" xfId="1" applyFont="1" applyFill="1" applyBorder="1" applyAlignment="1">
      <alignment horizontal="center" vertical="center" wrapText="1"/>
    </xf>
    <xf numFmtId="0" fontId="16" fillId="6" borderId="5" xfId="1" applyFont="1" applyFill="1" applyBorder="1" applyAlignment="1">
      <alignment horizontal="center" vertical="center" wrapText="1"/>
    </xf>
    <xf numFmtId="0" fontId="16" fillId="0" borderId="49" xfId="1" applyFont="1" applyFill="1" applyBorder="1" applyAlignment="1">
      <alignment horizontal="center" vertical="center" wrapText="1"/>
    </xf>
    <xf numFmtId="0" fontId="16" fillId="6" borderId="6" xfId="1" applyFont="1" applyFill="1" applyBorder="1" applyAlignment="1">
      <alignment horizontal="center" vertical="center" wrapText="1"/>
    </xf>
    <xf numFmtId="0" fontId="17" fillId="0" borderId="9" xfId="1" applyFont="1" applyFill="1" applyBorder="1" applyAlignment="1">
      <alignment horizontal="center" vertical="center" wrapText="1"/>
    </xf>
    <xf numFmtId="0" fontId="16" fillId="6" borderId="2" xfId="1" applyFont="1" applyFill="1" applyBorder="1" applyAlignment="1">
      <alignment horizontal="center" vertical="center" wrapText="1"/>
    </xf>
    <xf numFmtId="0" fontId="10" fillId="6" borderId="14" xfId="1" applyFont="1" applyFill="1" applyBorder="1" applyAlignment="1">
      <alignment horizontal="center" vertical="center" wrapText="1"/>
    </xf>
    <xf numFmtId="0" fontId="8" fillId="6" borderId="50" xfId="1" applyFont="1" applyFill="1" applyBorder="1" applyAlignment="1">
      <alignment horizontal="center" vertical="center" wrapText="1"/>
    </xf>
    <xf numFmtId="0" fontId="8" fillId="0" borderId="21" xfId="1" applyFont="1" applyFill="1" applyBorder="1" applyAlignment="1">
      <alignment horizontal="center" vertical="center" wrapText="1"/>
    </xf>
    <xf numFmtId="0" fontId="8" fillId="0" borderId="48" xfId="1" applyFont="1" applyFill="1" applyBorder="1" applyAlignment="1">
      <alignment horizontal="center" vertical="center" wrapText="1"/>
    </xf>
    <xf numFmtId="0" fontId="10" fillId="0" borderId="44" xfId="1" applyFont="1" applyFill="1" applyBorder="1" applyAlignment="1">
      <alignment horizontal="center" vertical="center" wrapText="1"/>
    </xf>
    <xf numFmtId="0" fontId="10" fillId="0" borderId="47" xfId="1" applyFont="1" applyFill="1" applyBorder="1" applyAlignment="1">
      <alignment horizontal="center" vertical="center" wrapText="1"/>
    </xf>
    <xf numFmtId="0" fontId="10" fillId="0" borderId="51" xfId="1" applyFont="1" applyFill="1" applyBorder="1" applyAlignment="1">
      <alignment horizontal="center" vertical="center" wrapText="1"/>
    </xf>
    <xf numFmtId="0" fontId="10" fillId="0" borderId="46" xfId="1" applyFont="1" applyFill="1" applyBorder="1" applyAlignment="1">
      <alignment horizontal="center" vertical="center" wrapText="1"/>
    </xf>
    <xf numFmtId="0" fontId="10" fillId="0" borderId="25" xfId="1" applyFont="1" applyFill="1" applyBorder="1" applyAlignment="1">
      <alignment horizontal="center" vertical="center" wrapText="1"/>
    </xf>
    <xf numFmtId="0" fontId="8" fillId="0" borderId="47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8" fillId="0" borderId="34" xfId="1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/>
    </xf>
    <xf numFmtId="0" fontId="0" fillId="0" borderId="24" xfId="0" applyBorder="1"/>
    <xf numFmtId="0" fontId="10" fillId="6" borderId="45" xfId="1" applyFont="1" applyFill="1" applyBorder="1" applyAlignment="1">
      <alignment horizontal="center" vertical="center" wrapText="1"/>
    </xf>
    <xf numFmtId="0" fontId="10" fillId="6" borderId="49" xfId="1" applyFont="1" applyFill="1" applyBorder="1" applyAlignment="1">
      <alignment horizontal="center" vertical="center" wrapText="1"/>
    </xf>
    <xf numFmtId="0" fontId="10" fillId="6" borderId="15" xfId="1" applyFont="1" applyFill="1" applyBorder="1" applyAlignment="1">
      <alignment horizontal="center" vertical="center" wrapText="1"/>
    </xf>
    <xf numFmtId="0" fontId="10" fillId="6" borderId="20" xfId="1" applyFont="1" applyFill="1" applyBorder="1" applyAlignment="1">
      <alignment horizontal="center" vertical="center" wrapText="1"/>
    </xf>
    <xf numFmtId="0" fontId="10" fillId="6" borderId="68" xfId="1" applyFont="1" applyFill="1" applyBorder="1" applyAlignment="1">
      <alignment horizontal="center" vertical="center" wrapText="1"/>
    </xf>
    <xf numFmtId="0" fontId="10" fillId="6" borderId="47" xfId="1" applyFont="1" applyFill="1" applyBorder="1" applyAlignment="1">
      <alignment horizontal="center" vertical="center" wrapText="1"/>
    </xf>
    <xf numFmtId="0" fontId="8" fillId="6" borderId="51" xfId="1" applyFont="1" applyFill="1" applyBorder="1" applyAlignment="1">
      <alignment horizontal="center" vertical="center" wrapText="1"/>
    </xf>
    <xf numFmtId="0" fontId="8" fillId="6" borderId="47" xfId="1" applyFont="1" applyFill="1" applyBorder="1" applyAlignment="1">
      <alignment horizontal="center" vertical="center" wrapText="1"/>
    </xf>
    <xf numFmtId="0" fontId="8" fillId="6" borderId="52" xfId="1" applyFont="1" applyFill="1" applyBorder="1" applyAlignment="1">
      <alignment horizontal="center" vertical="center" wrapText="1"/>
    </xf>
    <xf numFmtId="0" fontId="8" fillId="6" borderId="49" xfId="1" applyFont="1" applyFill="1" applyBorder="1" applyAlignment="1">
      <alignment horizontal="center" vertical="center" wrapText="1"/>
    </xf>
    <xf numFmtId="0" fontId="8" fillId="6" borderId="45" xfId="1" applyFont="1" applyFill="1" applyBorder="1" applyAlignment="1">
      <alignment horizontal="center" vertical="center" wrapText="1"/>
    </xf>
    <xf numFmtId="0" fontId="8" fillId="6" borderId="15" xfId="1" applyFont="1" applyFill="1" applyBorder="1" applyAlignment="1">
      <alignment horizontal="center" vertical="center" wrapText="1"/>
    </xf>
    <xf numFmtId="0" fontId="8" fillId="6" borderId="64" xfId="1" applyFont="1" applyFill="1" applyBorder="1" applyAlignment="1">
      <alignment horizontal="center" vertical="center" wrapText="1"/>
    </xf>
    <xf numFmtId="0" fontId="8" fillId="6" borderId="34" xfId="1" applyFont="1" applyFill="1" applyBorder="1" applyAlignment="1">
      <alignment horizontal="center" vertical="center" wrapText="1"/>
    </xf>
    <xf numFmtId="0" fontId="8" fillId="6" borderId="44" xfId="1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9" fillId="4" borderId="33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5" borderId="27" xfId="0" applyFont="1" applyFill="1" applyBorder="1" applyAlignment="1">
      <alignment horizontal="left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 wrapText="1"/>
    </xf>
    <xf numFmtId="0" fontId="9" fillId="4" borderId="27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9" fillId="4" borderId="26" xfId="0" applyFont="1" applyFill="1" applyBorder="1" applyAlignment="1">
      <alignment horizontal="center" vertical="center"/>
    </xf>
    <xf numFmtId="0" fontId="9" fillId="4" borderId="29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left" vertical="center" wrapText="1"/>
    </xf>
    <xf numFmtId="0" fontId="9" fillId="5" borderId="62" xfId="0" applyFont="1" applyFill="1" applyBorder="1" applyAlignment="1">
      <alignment horizontal="left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11" fillId="4" borderId="34" xfId="0" applyFont="1" applyFill="1" applyBorder="1" applyAlignment="1">
      <alignment horizontal="center" vertical="center" wrapText="1"/>
    </xf>
    <xf numFmtId="0" fontId="13" fillId="4" borderId="33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6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62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 vertical="center" wrapText="1"/>
    </xf>
    <xf numFmtId="0" fontId="9" fillId="4" borderId="31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 wrapText="1"/>
    </xf>
    <xf numFmtId="0" fontId="9" fillId="5" borderId="24" xfId="0" applyFont="1" applyFill="1" applyBorder="1" applyAlignment="1">
      <alignment horizontal="left" vertical="center" wrapText="1"/>
    </xf>
    <xf numFmtId="0" fontId="9" fillId="5" borderId="0" xfId="0" applyFont="1" applyFill="1" applyAlignment="1">
      <alignment horizontal="left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62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left" vertical="center" wrapText="1"/>
    </xf>
    <xf numFmtId="0" fontId="15" fillId="4" borderId="26" xfId="1" applyFont="1" applyFill="1" applyBorder="1" applyAlignment="1">
      <alignment horizontal="center" vertical="center" wrapText="1"/>
    </xf>
    <xf numFmtId="0" fontId="15" fillId="4" borderId="29" xfId="1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4" borderId="61" xfId="0" applyFont="1" applyFill="1" applyBorder="1" applyAlignment="1">
      <alignment horizontal="center" vertical="center"/>
    </xf>
    <xf numFmtId="0" fontId="15" fillId="4" borderId="27" xfId="1" applyFont="1" applyFill="1" applyBorder="1" applyAlignment="1">
      <alignment horizontal="center" vertical="center" wrapText="1"/>
    </xf>
    <xf numFmtId="0" fontId="18" fillId="4" borderId="33" xfId="0" applyFont="1" applyFill="1" applyBorder="1" applyAlignment="1">
      <alignment horizontal="center" vertical="center"/>
    </xf>
    <xf numFmtId="0" fontId="18" fillId="4" borderId="37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8" fillId="6" borderId="20" xfId="1" applyFont="1" applyFill="1" applyBorder="1" applyAlignment="1">
      <alignment horizontal="center" vertical="center" wrapText="1"/>
    </xf>
    <xf numFmtId="0" fontId="8" fillId="6" borderId="68" xfId="1" applyFont="1" applyFill="1" applyBorder="1" applyAlignment="1">
      <alignment horizontal="center" vertical="center" wrapText="1"/>
    </xf>
    <xf numFmtId="0" fontId="8" fillId="6" borderId="18" xfId="1" applyFont="1" applyFill="1" applyBorder="1" applyAlignment="1">
      <alignment horizontal="center" vertical="center" wrapText="1"/>
    </xf>
    <xf numFmtId="0" fontId="10" fillId="6" borderId="28" xfId="1" applyFont="1" applyFill="1" applyBorder="1" applyAlignment="1">
      <alignment horizontal="center" vertical="center" wrapText="1"/>
    </xf>
    <xf numFmtId="0" fontId="8" fillId="6" borderId="28" xfId="1" applyFont="1" applyFill="1" applyBorder="1" applyAlignment="1">
      <alignment horizontal="center" vertical="center" wrapText="1"/>
    </xf>
    <xf numFmtId="0" fontId="10" fillId="6" borderId="46" xfId="1" applyFont="1" applyFill="1" applyBorder="1" applyAlignment="1">
      <alignment horizontal="center" vertical="center" wrapText="1"/>
    </xf>
    <xf numFmtId="0" fontId="10" fillId="6" borderId="52" xfId="1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utenberg.org/ebooks/38767" TargetMode="External"/><Relationship Id="rId13" Type="http://schemas.openxmlformats.org/officeDocument/2006/relationships/hyperlink" Target="https://www.gutenberg.org/ebooks/40357" TargetMode="External"/><Relationship Id="rId3" Type="http://schemas.openxmlformats.org/officeDocument/2006/relationships/hyperlink" Target="https://www.gutenberg.org/ebooks/40201" TargetMode="External"/><Relationship Id="rId7" Type="http://schemas.openxmlformats.org/officeDocument/2006/relationships/hyperlink" Target="https://www.gutenberg.org/ebooks/59944" TargetMode="External"/><Relationship Id="rId12" Type="http://schemas.openxmlformats.org/officeDocument/2006/relationships/hyperlink" Target="https://archive.org/details/landofdons00will/page/n19/mode/2up" TargetMode="External"/><Relationship Id="rId2" Type="http://schemas.openxmlformats.org/officeDocument/2006/relationships/hyperlink" Target="https://www.gutenberg.org/ebooks/7430" TargetMode="External"/><Relationship Id="rId1" Type="http://schemas.openxmlformats.org/officeDocument/2006/relationships/hyperlink" Target="https://archive.org/details/throughspainreco00dickrich/page/n13/mode/2up" TargetMode="External"/><Relationship Id="rId6" Type="http://schemas.openxmlformats.org/officeDocument/2006/relationships/hyperlink" Target="https://archive.org/details/atrampinspain00unkngoog/page/n8/mode/2up" TargetMode="External"/><Relationship Id="rId11" Type="http://schemas.openxmlformats.org/officeDocument/2006/relationships/hyperlink" Target="https://www.gutenberg.org/ebooks/40356" TargetMode="External"/><Relationship Id="rId5" Type="http://schemas.openxmlformats.org/officeDocument/2006/relationships/hyperlink" Target="https://www.gutenberg.org/ebooks/27252" TargetMode="External"/><Relationship Id="rId15" Type="http://schemas.openxmlformats.org/officeDocument/2006/relationships/hyperlink" Target="https://www.gutenberg.org/ebooks/author/39917" TargetMode="External"/><Relationship Id="rId10" Type="http://schemas.openxmlformats.org/officeDocument/2006/relationships/hyperlink" Target="https://www.gutenberg.org/ebooks/41593" TargetMode="External"/><Relationship Id="rId4" Type="http://schemas.openxmlformats.org/officeDocument/2006/relationships/hyperlink" Target="https://archive.org/details/sunshadowinspain00elliuoft" TargetMode="External"/><Relationship Id="rId9" Type="http://schemas.openxmlformats.org/officeDocument/2006/relationships/hyperlink" Target="https://www.gutenberg.org/ebooks/37944" TargetMode="External"/><Relationship Id="rId14" Type="http://schemas.openxmlformats.org/officeDocument/2006/relationships/hyperlink" Target="https://archive.org/details/spainoftodaynarr00shaw/page/n11/mode/2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2"/>
  <sheetViews>
    <sheetView zoomScale="50" zoomScaleNormal="50" workbookViewId="0">
      <selection activeCell="A16" sqref="A16"/>
    </sheetView>
  </sheetViews>
  <sheetFormatPr baseColWidth="10" defaultColWidth="8.88671875" defaultRowHeight="15.6" x14ac:dyDescent="0.3"/>
  <cols>
    <col min="1" max="1" width="79" style="3" customWidth="1"/>
    <col min="2" max="2" width="50.44140625" style="3" customWidth="1"/>
    <col min="3" max="3" width="26.88671875" style="3" customWidth="1"/>
    <col min="4" max="4" width="25.6640625" style="3" customWidth="1"/>
    <col min="5" max="5" width="37.33203125" style="3" customWidth="1"/>
    <col min="6" max="6" width="35.21875" style="3" customWidth="1"/>
    <col min="7" max="7" width="13.44140625" style="3" customWidth="1"/>
    <col min="8" max="8" width="12" style="3" customWidth="1"/>
    <col min="9" max="9" width="9.6640625" style="3" customWidth="1"/>
    <col min="10" max="10" width="10.109375" style="3" customWidth="1"/>
    <col min="11" max="11" width="10" style="3" customWidth="1"/>
    <col min="12" max="12" width="11.6640625" style="3" customWidth="1"/>
    <col min="13" max="13" width="12.44140625" style="3" customWidth="1"/>
    <col min="14" max="22" width="12" style="3" customWidth="1"/>
    <col min="23" max="24" width="12.109375" style="3" customWidth="1"/>
    <col min="25" max="26" width="12.5546875" style="3" customWidth="1"/>
    <col min="27" max="27" width="11.88671875" style="3" customWidth="1"/>
    <col min="28" max="28" width="12.5546875" style="3" customWidth="1"/>
    <col min="29" max="29" width="12.77734375" style="3" customWidth="1"/>
    <col min="30" max="30" width="13" style="3" customWidth="1"/>
    <col min="31" max="31" width="13.21875" style="3" customWidth="1"/>
    <col min="32" max="32" width="10.77734375" style="3" customWidth="1"/>
    <col min="33" max="33" width="10.5546875" style="3" customWidth="1"/>
    <col min="34" max="34" width="11" style="3" customWidth="1"/>
    <col min="35" max="35" width="11.21875" style="3" customWidth="1"/>
    <col min="36" max="37" width="11" style="3" customWidth="1"/>
    <col min="38" max="38" width="35.21875" style="3" customWidth="1"/>
    <col min="39" max="41" width="15.6640625" style="3" customWidth="1"/>
    <col min="42" max="42" width="13.21875" style="3" customWidth="1"/>
    <col min="43" max="43" width="10.5546875" style="3" customWidth="1"/>
    <col min="44" max="57" width="14.77734375" style="3" customWidth="1"/>
    <col min="58" max="58" width="14.5546875" style="3" customWidth="1"/>
    <col min="59" max="59" width="10.6640625" style="3" customWidth="1"/>
    <col min="60" max="64" width="11.6640625" style="3" customWidth="1"/>
    <col min="65" max="65" width="25.33203125" style="3" customWidth="1"/>
    <col min="66" max="69" width="12" style="3" customWidth="1"/>
    <col min="70" max="72" width="17.109375" style="3" customWidth="1"/>
    <col min="73" max="73" width="13.33203125" style="3" customWidth="1"/>
    <col min="74" max="74" width="12.6640625" style="3" customWidth="1"/>
    <col min="75" max="75" width="13.5546875" style="3" customWidth="1"/>
    <col min="76" max="77" width="12" style="3" customWidth="1"/>
    <col min="78" max="82" width="13.33203125" style="3" customWidth="1"/>
    <col min="83" max="83" width="10.88671875" style="3" customWidth="1"/>
    <col min="84" max="87" width="13.77734375" style="3" customWidth="1"/>
    <col min="88" max="88" width="19.5546875" style="3" customWidth="1"/>
    <col min="89" max="89" width="13.77734375" style="3" customWidth="1"/>
    <col min="90" max="105" width="13.5546875" style="3" customWidth="1"/>
    <col min="106" max="108" width="8.88671875" style="3"/>
    <col min="109" max="109" width="12.21875" style="3" customWidth="1"/>
    <col min="110" max="112" width="8.88671875" style="3"/>
    <col min="113" max="113" width="24.6640625" style="3" customWidth="1"/>
    <col min="114" max="114" width="19.5546875" style="3" customWidth="1"/>
    <col min="115" max="16384" width="8.88671875" style="3"/>
  </cols>
  <sheetData>
    <row r="1" spans="1:130" ht="40.200000000000003" customHeight="1" thickTop="1" thickBot="1" x14ac:dyDescent="0.35">
      <c r="A1" s="303" t="s">
        <v>0</v>
      </c>
      <c r="B1" s="303"/>
      <c r="C1" s="303"/>
      <c r="D1" s="304"/>
      <c r="E1" s="305" t="s">
        <v>188</v>
      </c>
      <c r="F1" s="282" t="s">
        <v>38</v>
      </c>
      <c r="G1" s="317" t="s">
        <v>88</v>
      </c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2" t="s">
        <v>38</v>
      </c>
      <c r="AM1" s="295" t="s">
        <v>103</v>
      </c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296"/>
      <c r="BP1" s="296"/>
      <c r="BQ1" s="296"/>
      <c r="BR1" s="296"/>
      <c r="BS1" s="296"/>
      <c r="BT1" s="296"/>
      <c r="BU1" s="296"/>
      <c r="BV1" s="296"/>
      <c r="BW1" s="296"/>
      <c r="BX1" s="296"/>
      <c r="BY1" s="296"/>
      <c r="BZ1" s="296"/>
      <c r="CA1" s="296"/>
      <c r="CB1" s="296"/>
      <c r="CC1" s="296"/>
      <c r="CD1" s="296"/>
      <c r="CE1" s="296"/>
      <c r="CF1" s="296"/>
      <c r="CG1" s="296"/>
      <c r="CH1" s="296"/>
      <c r="CI1" s="296"/>
      <c r="CJ1" s="296"/>
      <c r="CK1" s="296"/>
      <c r="CL1" s="296"/>
      <c r="CM1" s="296"/>
      <c r="CN1" s="296"/>
      <c r="CO1" s="296"/>
      <c r="CP1" s="296"/>
      <c r="CQ1" s="296"/>
      <c r="CR1" s="296"/>
      <c r="CS1" s="296"/>
      <c r="CT1" s="296"/>
      <c r="CU1" s="296"/>
      <c r="CV1" s="296"/>
      <c r="CW1" s="296"/>
      <c r="CX1" s="296"/>
      <c r="CY1" s="296"/>
      <c r="CZ1" s="296"/>
      <c r="DA1" s="296"/>
      <c r="DB1" s="296"/>
      <c r="DC1" s="296"/>
      <c r="DD1" s="296"/>
      <c r="DE1" s="296"/>
      <c r="DF1" s="296"/>
      <c r="DG1" s="296"/>
      <c r="DH1" s="296"/>
      <c r="DI1" s="296"/>
      <c r="DJ1" s="296"/>
    </row>
    <row r="2" spans="1:130" ht="51.6" customHeight="1" thickTop="1" x14ac:dyDescent="0.3">
      <c r="A2" s="308" t="s">
        <v>1</v>
      </c>
      <c r="B2" s="310" t="s">
        <v>2</v>
      </c>
      <c r="C2" s="310" t="s">
        <v>3</v>
      </c>
      <c r="D2" s="312" t="s">
        <v>4</v>
      </c>
      <c r="E2" s="306"/>
      <c r="F2" s="283"/>
      <c r="G2" s="286" t="s">
        <v>55</v>
      </c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5" t="s">
        <v>56</v>
      </c>
      <c r="X2" s="286"/>
      <c r="Y2" s="286"/>
      <c r="Z2" s="286"/>
      <c r="AA2" s="286"/>
      <c r="AB2" s="286"/>
      <c r="AC2" s="286"/>
      <c r="AD2" s="286"/>
      <c r="AE2" s="286"/>
      <c r="AF2" s="286"/>
      <c r="AG2" s="286"/>
      <c r="AH2" s="286"/>
      <c r="AI2" s="286"/>
      <c r="AJ2" s="286"/>
      <c r="AK2" s="286"/>
      <c r="AL2" s="283"/>
      <c r="AM2" s="285" t="s">
        <v>102</v>
      </c>
      <c r="AN2" s="286"/>
      <c r="AO2" s="286"/>
      <c r="AP2" s="286"/>
      <c r="AQ2" s="286"/>
      <c r="AR2" s="285" t="s">
        <v>110</v>
      </c>
      <c r="AS2" s="286"/>
      <c r="AT2" s="286"/>
      <c r="AU2" s="286"/>
      <c r="AV2" s="286"/>
      <c r="AW2" s="286"/>
      <c r="AX2" s="286"/>
      <c r="AY2" s="285" t="s">
        <v>148</v>
      </c>
      <c r="AZ2" s="286"/>
      <c r="BA2" s="286"/>
      <c r="BB2" s="286"/>
      <c r="BC2" s="285" t="s">
        <v>91</v>
      </c>
      <c r="BD2" s="286"/>
      <c r="BE2" s="285" t="s">
        <v>98</v>
      </c>
      <c r="BF2" s="291"/>
      <c r="BG2" s="285" t="s">
        <v>95</v>
      </c>
      <c r="BH2" s="286"/>
      <c r="BI2" s="286"/>
      <c r="BJ2" s="286"/>
      <c r="BK2" s="286"/>
      <c r="BL2" s="286"/>
      <c r="BM2" s="277" t="s">
        <v>202</v>
      </c>
      <c r="BN2" s="285" t="s">
        <v>106</v>
      </c>
      <c r="BO2" s="286"/>
      <c r="BP2" s="285" t="s">
        <v>113</v>
      </c>
      <c r="BQ2" s="286"/>
      <c r="BR2" s="285" t="s">
        <v>127</v>
      </c>
      <c r="BS2" s="286"/>
      <c r="BT2" s="322" t="s">
        <v>200</v>
      </c>
      <c r="BU2" s="285" t="s">
        <v>133</v>
      </c>
      <c r="BV2" s="286"/>
      <c r="BW2" s="286"/>
      <c r="BX2" s="291"/>
      <c r="BY2" s="285" t="s">
        <v>140</v>
      </c>
      <c r="BZ2" s="286"/>
      <c r="CA2" s="286"/>
      <c r="CB2" s="286"/>
      <c r="CC2" s="286"/>
      <c r="CD2" s="291"/>
      <c r="CE2" s="285" t="s">
        <v>123</v>
      </c>
      <c r="CF2" s="286"/>
      <c r="CG2" s="322" t="s">
        <v>203</v>
      </c>
      <c r="CH2" s="285" t="s">
        <v>129</v>
      </c>
      <c r="CI2" s="291"/>
      <c r="CJ2" s="277" t="s">
        <v>201</v>
      </c>
      <c r="CK2" s="285" t="s">
        <v>146</v>
      </c>
      <c r="CL2" s="291"/>
      <c r="CM2" s="15" t="s">
        <v>154</v>
      </c>
      <c r="CN2" s="285" t="s">
        <v>159</v>
      </c>
      <c r="CO2" s="286"/>
      <c r="CP2" s="286"/>
      <c r="CQ2" s="291"/>
      <c r="CR2" s="285" t="s">
        <v>158</v>
      </c>
      <c r="CS2" s="291"/>
      <c r="CT2" s="285" t="s">
        <v>141</v>
      </c>
      <c r="CU2" s="291"/>
      <c r="CV2" s="277" t="s">
        <v>207</v>
      </c>
      <c r="CW2" s="285" t="s">
        <v>115</v>
      </c>
      <c r="CX2" s="286"/>
      <c r="CY2" s="285" t="s">
        <v>168</v>
      </c>
      <c r="CZ2" s="286"/>
      <c r="DA2" s="277" t="s">
        <v>204</v>
      </c>
      <c r="DB2" s="285" t="s">
        <v>135</v>
      </c>
      <c r="DC2" s="291"/>
      <c r="DD2" s="285" t="s">
        <v>151</v>
      </c>
      <c r="DE2" s="286"/>
      <c r="DF2" s="291"/>
      <c r="DG2" s="285" t="s">
        <v>116</v>
      </c>
      <c r="DH2" s="291"/>
      <c r="DI2" s="277" t="s">
        <v>205</v>
      </c>
      <c r="DJ2" s="277" t="s">
        <v>206</v>
      </c>
      <c r="DK2" s="158"/>
    </row>
    <row r="3" spans="1:130" ht="28.8" customHeight="1" thickBot="1" x14ac:dyDescent="0.35">
      <c r="A3" s="309"/>
      <c r="B3" s="311"/>
      <c r="C3" s="311"/>
      <c r="D3" s="313"/>
      <c r="E3" s="307"/>
      <c r="F3" s="284"/>
      <c r="G3" s="18" t="s">
        <v>76</v>
      </c>
      <c r="H3" s="18" t="s">
        <v>62</v>
      </c>
      <c r="I3" s="59" t="s">
        <v>57</v>
      </c>
      <c r="J3" s="17" t="s">
        <v>59</v>
      </c>
      <c r="K3" s="17" t="s">
        <v>60</v>
      </c>
      <c r="L3" s="17" t="s">
        <v>58</v>
      </c>
      <c r="M3" s="18" t="s">
        <v>61</v>
      </c>
      <c r="N3" s="18" t="s">
        <v>86</v>
      </c>
      <c r="O3" s="18" t="s">
        <v>63</v>
      </c>
      <c r="P3" s="18" t="s">
        <v>66</v>
      </c>
      <c r="Q3" s="18" t="s">
        <v>83</v>
      </c>
      <c r="R3" s="18" t="s">
        <v>64</v>
      </c>
      <c r="S3" s="18" t="s">
        <v>65</v>
      </c>
      <c r="T3" s="18" t="s">
        <v>79</v>
      </c>
      <c r="U3" s="18" t="s">
        <v>87</v>
      </c>
      <c r="V3" s="18" t="s">
        <v>81</v>
      </c>
      <c r="W3" s="116" t="s">
        <v>69</v>
      </c>
      <c r="X3" s="59" t="s">
        <v>67</v>
      </c>
      <c r="Y3" s="117" t="s">
        <v>68</v>
      </c>
      <c r="Z3" s="117" t="s">
        <v>70</v>
      </c>
      <c r="AA3" s="117" t="s">
        <v>71</v>
      </c>
      <c r="AB3" s="117" t="s">
        <v>72</v>
      </c>
      <c r="AC3" s="59" t="s">
        <v>75</v>
      </c>
      <c r="AD3" s="117" t="s">
        <v>73</v>
      </c>
      <c r="AE3" s="117" t="s">
        <v>74</v>
      </c>
      <c r="AF3" s="20" t="s">
        <v>77</v>
      </c>
      <c r="AG3" s="59" t="s">
        <v>78</v>
      </c>
      <c r="AH3" s="20" t="s">
        <v>82</v>
      </c>
      <c r="AI3" s="20" t="s">
        <v>80</v>
      </c>
      <c r="AJ3" s="20" t="s">
        <v>85</v>
      </c>
      <c r="AK3" s="20" t="s">
        <v>84</v>
      </c>
      <c r="AL3" s="284"/>
      <c r="AM3" s="21" t="s">
        <v>93</v>
      </c>
      <c r="AN3" s="20" t="s">
        <v>100</v>
      </c>
      <c r="AO3" s="59" t="s">
        <v>94</v>
      </c>
      <c r="AP3" s="20" t="s">
        <v>101</v>
      </c>
      <c r="AQ3" s="59" t="s">
        <v>186</v>
      </c>
      <c r="AR3" s="16" t="s">
        <v>105</v>
      </c>
      <c r="AS3" s="18" t="s">
        <v>122</v>
      </c>
      <c r="AT3" s="17" t="s">
        <v>111</v>
      </c>
      <c r="AU3" s="18" t="s">
        <v>112</v>
      </c>
      <c r="AV3" s="18" t="s">
        <v>162</v>
      </c>
      <c r="AW3" s="59" t="s">
        <v>153</v>
      </c>
      <c r="AX3" s="18" t="s">
        <v>183</v>
      </c>
      <c r="AY3" s="21" t="s">
        <v>96</v>
      </c>
      <c r="AZ3" s="18" t="s">
        <v>109</v>
      </c>
      <c r="BA3" s="18" t="s">
        <v>132</v>
      </c>
      <c r="BB3" s="22" t="s">
        <v>179</v>
      </c>
      <c r="BC3" s="19" t="s">
        <v>92</v>
      </c>
      <c r="BD3" s="20" t="s">
        <v>144</v>
      </c>
      <c r="BE3" s="21" t="s">
        <v>99</v>
      </c>
      <c r="BF3" s="18" t="s">
        <v>97</v>
      </c>
      <c r="BG3" s="16" t="s">
        <v>90</v>
      </c>
      <c r="BH3" s="17" t="s">
        <v>108</v>
      </c>
      <c r="BI3" s="18" t="s">
        <v>89</v>
      </c>
      <c r="BJ3" s="18" t="s">
        <v>172</v>
      </c>
      <c r="BK3" s="18" t="s">
        <v>166</v>
      </c>
      <c r="BL3" s="18" t="s">
        <v>165</v>
      </c>
      <c r="BM3" s="278"/>
      <c r="BN3" s="16" t="s">
        <v>107</v>
      </c>
      <c r="BO3" s="17" t="s">
        <v>126</v>
      </c>
      <c r="BP3" s="16" t="s">
        <v>114</v>
      </c>
      <c r="BQ3" s="18" t="s">
        <v>131</v>
      </c>
      <c r="BR3" s="16" t="s">
        <v>128</v>
      </c>
      <c r="BS3" s="23" t="s">
        <v>149</v>
      </c>
      <c r="BT3" s="307"/>
      <c r="BU3" s="21" t="s">
        <v>163</v>
      </c>
      <c r="BV3" s="17" t="s">
        <v>134</v>
      </c>
      <c r="BW3" s="23" t="s">
        <v>157</v>
      </c>
      <c r="BX3" s="24" t="s">
        <v>156</v>
      </c>
      <c r="BY3" s="18" t="s">
        <v>139</v>
      </c>
      <c r="BZ3" s="59" t="s">
        <v>121</v>
      </c>
      <c r="CA3" s="17" t="s">
        <v>138</v>
      </c>
      <c r="CB3" s="18" t="s">
        <v>167</v>
      </c>
      <c r="CC3" s="59" t="s">
        <v>180</v>
      </c>
      <c r="CD3" s="159" t="s">
        <v>171</v>
      </c>
      <c r="CE3" s="21" t="s">
        <v>124</v>
      </c>
      <c r="CF3" s="22" t="s">
        <v>125</v>
      </c>
      <c r="CG3" s="307"/>
      <c r="CH3" s="21" t="s">
        <v>150</v>
      </c>
      <c r="CI3" s="22" t="s">
        <v>130</v>
      </c>
      <c r="CJ3" s="278"/>
      <c r="CK3" s="16" t="s">
        <v>145</v>
      </c>
      <c r="CL3" s="24" t="s">
        <v>147</v>
      </c>
      <c r="CM3" s="16" t="s">
        <v>155</v>
      </c>
      <c r="CN3" s="16" t="s">
        <v>160</v>
      </c>
      <c r="CO3" s="23" t="s">
        <v>182</v>
      </c>
      <c r="CP3" s="23" t="s">
        <v>184</v>
      </c>
      <c r="CQ3" s="17" t="s">
        <v>181</v>
      </c>
      <c r="CR3" s="16" t="s">
        <v>161</v>
      </c>
      <c r="CS3" s="17" t="s">
        <v>164</v>
      </c>
      <c r="CT3" s="16" t="s">
        <v>142</v>
      </c>
      <c r="CU3" s="24" t="s">
        <v>143</v>
      </c>
      <c r="CV3" s="278"/>
      <c r="CW3" s="16" t="s">
        <v>117</v>
      </c>
      <c r="CX3" s="18" t="s">
        <v>118</v>
      </c>
      <c r="CY3" s="16" t="s">
        <v>169</v>
      </c>
      <c r="CZ3" s="18" t="s">
        <v>178</v>
      </c>
      <c r="DA3" s="278"/>
      <c r="DB3" s="21" t="s">
        <v>136</v>
      </c>
      <c r="DC3" s="18" t="s">
        <v>137</v>
      </c>
      <c r="DD3" s="16" t="s">
        <v>152</v>
      </c>
      <c r="DE3" s="23" t="s">
        <v>185</v>
      </c>
      <c r="DF3" s="17" t="s">
        <v>170</v>
      </c>
      <c r="DG3" s="16" t="s">
        <v>119</v>
      </c>
      <c r="DH3" s="18" t="s">
        <v>120</v>
      </c>
      <c r="DI3" s="278"/>
      <c r="DJ3" s="278"/>
      <c r="DK3" s="158"/>
      <c r="DZ3" s="17" t="s">
        <v>138</v>
      </c>
    </row>
    <row r="4" spans="1:130" ht="36.6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26" t="s">
        <v>177</v>
      </c>
      <c r="F4" s="27"/>
      <c r="G4" s="83">
        <v>24</v>
      </c>
      <c r="H4" s="83">
        <v>7</v>
      </c>
      <c r="I4" s="80">
        <v>27</v>
      </c>
      <c r="J4" s="82">
        <v>14</v>
      </c>
      <c r="K4" s="79">
        <v>11</v>
      </c>
      <c r="L4" s="79">
        <v>16</v>
      </c>
      <c r="M4" s="115">
        <v>8</v>
      </c>
      <c r="N4" s="83"/>
      <c r="O4" s="115">
        <v>5</v>
      </c>
      <c r="P4" s="83">
        <v>1</v>
      </c>
      <c r="Q4" s="83"/>
      <c r="R4" s="83">
        <v>1</v>
      </c>
      <c r="S4" s="83">
        <v>1</v>
      </c>
      <c r="T4" s="83"/>
      <c r="U4" s="83"/>
      <c r="V4" s="83"/>
      <c r="W4" s="85">
        <v>22</v>
      </c>
      <c r="X4" s="82">
        <v>29</v>
      </c>
      <c r="Y4" s="121">
        <v>29</v>
      </c>
      <c r="Z4" s="121">
        <v>16</v>
      </c>
      <c r="AA4" s="121">
        <v>11</v>
      </c>
      <c r="AB4" s="121">
        <v>6</v>
      </c>
      <c r="AC4" s="82">
        <v>1</v>
      </c>
      <c r="AD4" s="84">
        <v>3</v>
      </c>
      <c r="AE4" s="84">
        <v>3</v>
      </c>
      <c r="AF4" s="83"/>
      <c r="AG4" s="82"/>
      <c r="AH4" s="83"/>
      <c r="AI4" s="83"/>
      <c r="AJ4" s="83"/>
      <c r="AK4" s="83"/>
      <c r="AL4" s="27" t="s">
        <v>48</v>
      </c>
      <c r="AM4" s="85">
        <v>18</v>
      </c>
      <c r="AN4" s="146">
        <v>10</v>
      </c>
      <c r="AO4" s="82">
        <v>2</v>
      </c>
      <c r="AP4" s="83">
        <v>2</v>
      </c>
      <c r="AQ4" s="82"/>
      <c r="AR4" s="81">
        <v>8</v>
      </c>
      <c r="AS4" s="83">
        <v>2</v>
      </c>
      <c r="AT4" s="82">
        <v>3</v>
      </c>
      <c r="AU4" s="83">
        <v>3</v>
      </c>
      <c r="AV4" s="83"/>
      <c r="AW4" s="82"/>
      <c r="AX4" s="83"/>
      <c r="AY4" s="85">
        <v>14</v>
      </c>
      <c r="AZ4" s="83">
        <v>4</v>
      </c>
      <c r="BA4" s="83">
        <v>2</v>
      </c>
      <c r="BB4" s="127"/>
      <c r="BC4" s="141">
        <v>19</v>
      </c>
      <c r="BD4" s="83">
        <v>1</v>
      </c>
      <c r="BE4" s="85">
        <v>13</v>
      </c>
      <c r="BF4" s="83">
        <v>2</v>
      </c>
      <c r="BG4" s="171">
        <v>22</v>
      </c>
      <c r="BH4" s="79">
        <v>5</v>
      </c>
      <c r="BI4" s="146">
        <v>3</v>
      </c>
      <c r="BJ4" s="83"/>
      <c r="BK4" s="83"/>
      <c r="BL4" s="83"/>
      <c r="BM4" s="81">
        <v>4</v>
      </c>
      <c r="BN4" s="141">
        <v>8</v>
      </c>
      <c r="BO4" s="79">
        <v>4</v>
      </c>
      <c r="BP4" s="81">
        <v>3</v>
      </c>
      <c r="BQ4" s="83">
        <v>2</v>
      </c>
      <c r="BR4" s="29">
        <v>2</v>
      </c>
      <c r="BS4" s="30">
        <v>1</v>
      </c>
      <c r="BT4" s="148">
        <v>8</v>
      </c>
      <c r="BU4" s="28"/>
      <c r="BV4" s="31">
        <v>2</v>
      </c>
      <c r="BW4" s="30"/>
      <c r="BX4" s="33"/>
      <c r="BY4" s="83">
        <v>1</v>
      </c>
      <c r="BZ4" s="138">
        <v>2</v>
      </c>
      <c r="CA4" s="82">
        <v>1</v>
      </c>
      <c r="CB4" s="83"/>
      <c r="CC4" s="82"/>
      <c r="CD4" s="162"/>
      <c r="CE4" s="179">
        <v>5</v>
      </c>
      <c r="CF4" s="127">
        <v>2</v>
      </c>
      <c r="CG4" s="28">
        <v>1</v>
      </c>
      <c r="CH4" s="28">
        <v>1</v>
      </c>
      <c r="CI4" s="33">
        <v>2</v>
      </c>
      <c r="CJ4" s="141">
        <v>5</v>
      </c>
      <c r="CK4" s="29"/>
      <c r="CL4" s="33">
        <v>1</v>
      </c>
      <c r="CM4" s="29"/>
      <c r="CN4" s="29"/>
      <c r="CO4" s="30"/>
      <c r="CP4" s="30"/>
      <c r="CQ4" s="31"/>
      <c r="CR4" s="29"/>
      <c r="CS4" s="31"/>
      <c r="CT4" s="29">
        <v>1</v>
      </c>
      <c r="CU4" s="33">
        <v>1</v>
      </c>
      <c r="CV4" s="29"/>
      <c r="CW4" s="81">
        <v>2</v>
      </c>
      <c r="CX4" s="83"/>
      <c r="CY4" s="29"/>
      <c r="CZ4" s="32"/>
      <c r="DA4" s="29">
        <v>1</v>
      </c>
      <c r="DB4" s="28">
        <v>1</v>
      </c>
      <c r="DC4" s="32">
        <v>1</v>
      </c>
      <c r="DD4" s="29">
        <v>1</v>
      </c>
      <c r="DE4" s="30"/>
      <c r="DF4" s="31"/>
      <c r="DG4" s="81">
        <v>1</v>
      </c>
      <c r="DH4" s="83">
        <v>2</v>
      </c>
      <c r="DI4" s="29"/>
      <c r="DJ4" s="29"/>
      <c r="DK4" s="158"/>
      <c r="DZ4" s="82">
        <v>1</v>
      </c>
    </row>
    <row r="5" spans="1:130" ht="37.200000000000003" customHeight="1" thickBot="1" x14ac:dyDescent="0.55000000000000004">
      <c r="A5" s="8" t="s">
        <v>8</v>
      </c>
      <c r="B5" s="2" t="s">
        <v>9</v>
      </c>
      <c r="C5" s="1">
        <v>1902</v>
      </c>
      <c r="D5" s="34" t="s">
        <v>10</v>
      </c>
      <c r="E5" s="35" t="s">
        <v>176</v>
      </c>
      <c r="F5" s="36"/>
      <c r="G5" s="88">
        <v>6</v>
      </c>
      <c r="H5" s="88">
        <v>2</v>
      </c>
      <c r="I5" s="87"/>
      <c r="J5" s="87"/>
      <c r="K5" s="87"/>
      <c r="L5" s="87">
        <v>3</v>
      </c>
      <c r="M5" s="88"/>
      <c r="N5" s="88"/>
      <c r="O5" s="88"/>
      <c r="P5" s="111">
        <v>5</v>
      </c>
      <c r="Q5" s="88"/>
      <c r="R5" s="88">
        <v>1</v>
      </c>
      <c r="S5" s="88"/>
      <c r="T5" s="88"/>
      <c r="U5" s="88"/>
      <c r="V5" s="88"/>
      <c r="W5" s="90">
        <v>8</v>
      </c>
      <c r="X5" s="87">
        <v>8</v>
      </c>
      <c r="Y5" s="89">
        <v>5</v>
      </c>
      <c r="Z5" s="89">
        <v>1</v>
      </c>
      <c r="AA5" s="89"/>
      <c r="AB5" s="89">
        <v>3</v>
      </c>
      <c r="AC5" s="87">
        <v>1</v>
      </c>
      <c r="AD5" s="89">
        <v>1</v>
      </c>
      <c r="AE5" s="89">
        <v>1</v>
      </c>
      <c r="AF5" s="88"/>
      <c r="AG5" s="87"/>
      <c r="AH5" s="88"/>
      <c r="AI5" s="88"/>
      <c r="AJ5" s="88"/>
      <c r="AK5" s="88"/>
      <c r="AL5" s="36" t="s">
        <v>46</v>
      </c>
      <c r="AM5" s="90"/>
      <c r="AN5" s="88">
        <v>2</v>
      </c>
      <c r="AO5" s="87"/>
      <c r="AP5" s="88">
        <v>1</v>
      </c>
      <c r="AQ5" s="87"/>
      <c r="AR5" s="86">
        <v>4</v>
      </c>
      <c r="AS5" s="88"/>
      <c r="AT5" s="87"/>
      <c r="AU5" s="88"/>
      <c r="AV5" s="88"/>
      <c r="AW5" s="113">
        <v>3</v>
      </c>
      <c r="AX5" s="88"/>
      <c r="AY5" s="90">
        <v>6</v>
      </c>
      <c r="AZ5" s="88">
        <v>3</v>
      </c>
      <c r="BA5" s="88"/>
      <c r="BB5" s="128"/>
      <c r="BC5" s="86">
        <v>6</v>
      </c>
      <c r="BD5" s="88"/>
      <c r="BE5" s="90">
        <v>7</v>
      </c>
      <c r="BF5" s="88"/>
      <c r="BG5" s="86">
        <v>1</v>
      </c>
      <c r="BH5" s="87"/>
      <c r="BI5" s="88"/>
      <c r="BJ5" s="88"/>
      <c r="BK5" s="88"/>
      <c r="BL5" s="88"/>
      <c r="BM5" s="86">
        <v>2</v>
      </c>
      <c r="BN5" s="86">
        <v>1</v>
      </c>
      <c r="BO5" s="87"/>
      <c r="BP5" s="86"/>
      <c r="BQ5" s="88">
        <v>1</v>
      </c>
      <c r="BR5" s="38">
        <v>1</v>
      </c>
      <c r="BS5" s="39">
        <v>1</v>
      </c>
      <c r="BT5" s="90">
        <v>1</v>
      </c>
      <c r="BU5" s="37"/>
      <c r="BV5" s="40">
        <v>1</v>
      </c>
      <c r="BW5" s="39">
        <v>1</v>
      </c>
      <c r="BX5" s="42">
        <v>2</v>
      </c>
      <c r="BY5" s="88"/>
      <c r="BZ5" s="87"/>
      <c r="CA5" s="87"/>
      <c r="CB5" s="88"/>
      <c r="CC5" s="87"/>
      <c r="CD5" s="163"/>
      <c r="CE5" s="124">
        <v>5</v>
      </c>
      <c r="CF5" s="128"/>
      <c r="CG5" s="37"/>
      <c r="CH5" s="37">
        <v>1</v>
      </c>
      <c r="CI5" s="42"/>
      <c r="CJ5" s="86">
        <v>1</v>
      </c>
      <c r="CK5" s="38"/>
      <c r="CL5" s="42"/>
      <c r="CM5" s="38">
        <v>2</v>
      </c>
      <c r="CN5" s="38"/>
      <c r="CO5" s="39"/>
      <c r="CP5" s="39"/>
      <c r="CQ5" s="40"/>
      <c r="CR5" s="38"/>
      <c r="CS5" s="40"/>
      <c r="CT5" s="38"/>
      <c r="CU5" s="42"/>
      <c r="CV5" s="38"/>
      <c r="CW5" s="86"/>
      <c r="CX5" s="88"/>
      <c r="CY5" s="38"/>
      <c r="CZ5" s="41"/>
      <c r="DA5" s="38"/>
      <c r="DB5" s="37">
        <v>1</v>
      </c>
      <c r="DC5" s="41">
        <v>1</v>
      </c>
      <c r="DD5" s="38"/>
      <c r="DE5" s="39"/>
      <c r="DF5" s="40"/>
      <c r="DG5" s="86"/>
      <c r="DH5" s="88"/>
      <c r="DI5" s="38"/>
      <c r="DJ5" s="38"/>
      <c r="DK5" s="158"/>
      <c r="DW5" s="17" t="s">
        <v>138</v>
      </c>
      <c r="DZ5" s="87"/>
    </row>
    <row r="6" spans="1:130" ht="42" customHeight="1" thickTop="1" x14ac:dyDescent="0.5">
      <c r="A6" s="8" t="s">
        <v>11</v>
      </c>
      <c r="B6" s="2" t="s">
        <v>12</v>
      </c>
      <c r="C6" s="1">
        <v>1903</v>
      </c>
      <c r="D6" s="43" t="s">
        <v>7</v>
      </c>
      <c r="E6" s="35" t="s">
        <v>175</v>
      </c>
      <c r="F6" s="36"/>
      <c r="G6" s="88">
        <v>13</v>
      </c>
      <c r="H6" s="88"/>
      <c r="I6" s="87"/>
      <c r="J6" s="87">
        <v>1</v>
      </c>
      <c r="K6" s="87">
        <v>6</v>
      </c>
      <c r="L6" s="87">
        <v>1</v>
      </c>
      <c r="M6" s="88"/>
      <c r="N6" s="88"/>
      <c r="O6" s="88"/>
      <c r="P6" s="88"/>
      <c r="Q6" s="88"/>
      <c r="R6" s="88"/>
      <c r="S6" s="88"/>
      <c r="T6" s="88">
        <v>1</v>
      </c>
      <c r="U6" s="88"/>
      <c r="V6" s="88"/>
      <c r="W6" s="90">
        <v>8</v>
      </c>
      <c r="X6" s="87">
        <v>8</v>
      </c>
      <c r="Y6" s="89">
        <v>3</v>
      </c>
      <c r="Z6" s="89">
        <v>3</v>
      </c>
      <c r="AA6" s="89">
        <v>6</v>
      </c>
      <c r="AB6" s="89"/>
      <c r="AC6" s="87">
        <v>1</v>
      </c>
      <c r="AD6" s="89"/>
      <c r="AE6" s="89">
        <v>1</v>
      </c>
      <c r="AF6" s="88">
        <v>1</v>
      </c>
      <c r="AG6" s="87">
        <v>1</v>
      </c>
      <c r="AH6" s="88"/>
      <c r="AI6" s="88"/>
      <c r="AJ6" s="88"/>
      <c r="AK6" s="88"/>
      <c r="AL6" s="36" t="s">
        <v>42</v>
      </c>
      <c r="AM6" s="90">
        <v>16</v>
      </c>
      <c r="AN6" s="88">
        <v>14</v>
      </c>
      <c r="AO6" s="87">
        <v>1</v>
      </c>
      <c r="AP6" s="88"/>
      <c r="AQ6" s="87"/>
      <c r="AR6" s="86">
        <v>10</v>
      </c>
      <c r="AS6" s="88">
        <v>1</v>
      </c>
      <c r="AT6" s="87">
        <v>2</v>
      </c>
      <c r="AU6" s="88">
        <v>3</v>
      </c>
      <c r="AV6" s="88"/>
      <c r="AW6" s="87"/>
      <c r="AX6" s="88"/>
      <c r="AY6" s="90">
        <v>3</v>
      </c>
      <c r="AZ6" s="88"/>
      <c r="BA6" s="88"/>
      <c r="BB6" s="128"/>
      <c r="BC6" s="86">
        <v>9</v>
      </c>
      <c r="BD6" s="88"/>
      <c r="BE6" s="90">
        <v>2</v>
      </c>
      <c r="BF6" s="88"/>
      <c r="BG6" s="86">
        <v>1</v>
      </c>
      <c r="BH6" s="87"/>
      <c r="BI6" s="88"/>
      <c r="BJ6" s="88"/>
      <c r="BK6" s="88"/>
      <c r="BL6" s="88"/>
      <c r="BM6" s="143">
        <v>8</v>
      </c>
      <c r="BN6" s="86">
        <v>2</v>
      </c>
      <c r="BO6" s="87">
        <v>1</v>
      </c>
      <c r="BP6" s="86"/>
      <c r="BQ6" s="88">
        <v>2</v>
      </c>
      <c r="BR6" s="150">
        <v>4</v>
      </c>
      <c r="BS6" s="151">
        <v>6</v>
      </c>
      <c r="BT6" s="90">
        <v>4</v>
      </c>
      <c r="BU6" s="37"/>
      <c r="BV6" s="40"/>
      <c r="BW6" s="39"/>
      <c r="BX6" s="42"/>
      <c r="BY6" s="88"/>
      <c r="BZ6" s="87"/>
      <c r="CA6" s="87"/>
      <c r="CB6" s="88"/>
      <c r="CC6" s="87"/>
      <c r="CD6" s="163"/>
      <c r="CE6" s="90"/>
      <c r="CF6" s="128"/>
      <c r="CG6" s="37"/>
      <c r="CH6" s="37"/>
      <c r="CI6" s="42"/>
      <c r="CJ6" s="86"/>
      <c r="CK6" s="38">
        <v>1</v>
      </c>
      <c r="CL6" s="42">
        <v>1</v>
      </c>
      <c r="CM6" s="38"/>
      <c r="CN6" s="38">
        <v>1</v>
      </c>
      <c r="CO6" s="39"/>
      <c r="CP6" s="39"/>
      <c r="CQ6" s="40">
        <v>1</v>
      </c>
      <c r="CR6" s="38"/>
      <c r="CS6" s="40">
        <v>1</v>
      </c>
      <c r="CT6" s="38"/>
      <c r="CU6" s="42"/>
      <c r="CV6" s="38"/>
      <c r="CW6" s="86"/>
      <c r="CX6" s="88"/>
      <c r="CY6" s="38"/>
      <c r="CZ6" s="41"/>
      <c r="DA6" s="38"/>
      <c r="DB6" s="37"/>
      <c r="DC6" s="41"/>
      <c r="DD6" s="38"/>
      <c r="DE6" s="39"/>
      <c r="DF6" s="40"/>
      <c r="DG6" s="86"/>
      <c r="DH6" s="88"/>
      <c r="DI6" s="38">
        <v>1</v>
      </c>
      <c r="DJ6" s="38"/>
      <c r="DK6" s="158"/>
      <c r="DW6" s="82">
        <v>1</v>
      </c>
      <c r="DZ6" s="87"/>
    </row>
    <row r="7" spans="1:130" ht="36.6" customHeight="1" x14ac:dyDescent="0.5">
      <c r="A7" s="8" t="s">
        <v>13</v>
      </c>
      <c r="B7" s="2" t="s">
        <v>14</v>
      </c>
      <c r="C7" s="1">
        <v>1904</v>
      </c>
      <c r="D7" s="43" t="s">
        <v>15</v>
      </c>
      <c r="E7" s="35" t="s">
        <v>174</v>
      </c>
      <c r="F7" s="36"/>
      <c r="G7" s="88">
        <v>32</v>
      </c>
      <c r="H7" s="88">
        <v>19</v>
      </c>
      <c r="I7" s="87">
        <v>2</v>
      </c>
      <c r="J7" s="87">
        <v>1</v>
      </c>
      <c r="K7" s="87">
        <v>11</v>
      </c>
      <c r="L7" s="87">
        <v>2</v>
      </c>
      <c r="M7" s="88">
        <v>1</v>
      </c>
      <c r="N7" s="88"/>
      <c r="O7" s="88">
        <v>1</v>
      </c>
      <c r="P7" s="88"/>
      <c r="Q7" s="88"/>
      <c r="R7" s="88"/>
      <c r="S7" s="88"/>
      <c r="T7" s="88"/>
      <c r="U7" s="88"/>
      <c r="V7" s="111">
        <v>2</v>
      </c>
      <c r="W7" s="124">
        <v>125</v>
      </c>
      <c r="X7" s="113">
        <v>54</v>
      </c>
      <c r="Y7" s="89">
        <v>19</v>
      </c>
      <c r="Z7" s="89">
        <v>8</v>
      </c>
      <c r="AA7" s="89"/>
      <c r="AB7" s="119">
        <v>4</v>
      </c>
      <c r="AC7" s="110">
        <v>5</v>
      </c>
      <c r="AD7" s="89">
        <v>1</v>
      </c>
      <c r="AE7" s="89">
        <v>3</v>
      </c>
      <c r="AF7" s="88"/>
      <c r="AG7" s="87"/>
      <c r="AH7" s="88">
        <v>1</v>
      </c>
      <c r="AI7" s="111">
        <v>5</v>
      </c>
      <c r="AJ7" s="88"/>
      <c r="AK7" s="88"/>
      <c r="AL7" s="36" t="s">
        <v>46</v>
      </c>
      <c r="AM7" s="90">
        <v>26</v>
      </c>
      <c r="AN7" s="88">
        <v>11</v>
      </c>
      <c r="AO7" s="110">
        <v>29</v>
      </c>
      <c r="AP7" s="88"/>
      <c r="AQ7" s="87"/>
      <c r="AR7" s="86">
        <v>27</v>
      </c>
      <c r="AS7" s="107">
        <v>14</v>
      </c>
      <c r="AT7" s="113">
        <v>14</v>
      </c>
      <c r="AU7" s="88">
        <v>1</v>
      </c>
      <c r="AV7" s="88">
        <v>2</v>
      </c>
      <c r="AW7" s="87"/>
      <c r="AX7" s="88"/>
      <c r="AY7" s="90">
        <v>7</v>
      </c>
      <c r="AZ7" s="88"/>
      <c r="BA7" s="88"/>
      <c r="BB7" s="128"/>
      <c r="BC7" s="86">
        <v>3</v>
      </c>
      <c r="BD7" s="88">
        <v>2</v>
      </c>
      <c r="BE7" s="90">
        <v>5</v>
      </c>
      <c r="BF7" s="88"/>
      <c r="BG7" s="86">
        <v>1</v>
      </c>
      <c r="BH7" s="87"/>
      <c r="BI7" s="88"/>
      <c r="BJ7" s="88"/>
      <c r="BK7" s="88"/>
      <c r="BL7" s="88"/>
      <c r="BM7" s="86">
        <v>4</v>
      </c>
      <c r="BN7" s="86">
        <v>3</v>
      </c>
      <c r="BO7" s="87"/>
      <c r="BP7" s="86"/>
      <c r="BQ7" s="88">
        <v>4</v>
      </c>
      <c r="BR7" s="153">
        <v>7</v>
      </c>
      <c r="BS7" s="39">
        <v>5</v>
      </c>
      <c r="BT7" s="90">
        <v>1</v>
      </c>
      <c r="BU7" s="37">
        <v>2</v>
      </c>
      <c r="BV7" s="40"/>
      <c r="BW7" s="39"/>
      <c r="BX7" s="42"/>
      <c r="BY7" s="107">
        <v>4</v>
      </c>
      <c r="BZ7" s="87"/>
      <c r="CA7" s="87"/>
      <c r="CB7" s="88"/>
      <c r="CC7" s="87"/>
      <c r="CD7" s="163"/>
      <c r="CE7" s="90"/>
      <c r="CF7" s="128"/>
      <c r="CG7" s="180">
        <v>7</v>
      </c>
      <c r="CH7" s="37">
        <v>2</v>
      </c>
      <c r="CI7" s="181">
        <v>3</v>
      </c>
      <c r="CJ7" s="86"/>
      <c r="CK7" s="38">
        <v>1</v>
      </c>
      <c r="CL7" s="42"/>
      <c r="CM7" s="38"/>
      <c r="CN7" s="38"/>
      <c r="CO7" s="39"/>
      <c r="CP7" s="39"/>
      <c r="CQ7" s="40"/>
      <c r="CR7" s="153">
        <v>6</v>
      </c>
      <c r="CS7" s="40">
        <v>1</v>
      </c>
      <c r="CT7" s="38"/>
      <c r="CU7" s="42"/>
      <c r="CV7" s="38"/>
      <c r="CW7" s="86"/>
      <c r="CX7" s="88"/>
      <c r="CY7" s="38"/>
      <c r="CZ7" s="41"/>
      <c r="DA7" s="38">
        <v>1</v>
      </c>
      <c r="DB7" s="37"/>
      <c r="DC7" s="41"/>
      <c r="DD7" s="38"/>
      <c r="DE7" s="39"/>
      <c r="DF7" s="40"/>
      <c r="DG7" s="86"/>
      <c r="DH7" s="88"/>
      <c r="DI7" s="38"/>
      <c r="DJ7" s="38">
        <v>1</v>
      </c>
      <c r="DK7" s="158"/>
      <c r="DW7" s="87"/>
      <c r="DZ7" s="87"/>
    </row>
    <row r="8" spans="1:130" ht="40.200000000000003" customHeight="1" thickBot="1" x14ac:dyDescent="0.55000000000000004">
      <c r="A8" s="9" t="s">
        <v>16</v>
      </c>
      <c r="B8" s="10" t="s">
        <v>17</v>
      </c>
      <c r="C8" s="11">
        <v>1905</v>
      </c>
      <c r="D8" s="44" t="s">
        <v>7</v>
      </c>
      <c r="E8" s="67" t="s">
        <v>173</v>
      </c>
      <c r="F8" s="45"/>
      <c r="G8" s="108">
        <v>39</v>
      </c>
      <c r="H8" s="112">
        <v>46</v>
      </c>
      <c r="I8" s="109">
        <v>19</v>
      </c>
      <c r="J8" s="109">
        <v>17</v>
      </c>
      <c r="K8" s="114">
        <v>17</v>
      </c>
      <c r="L8" s="92">
        <v>7</v>
      </c>
      <c r="M8" s="93"/>
      <c r="N8" s="93"/>
      <c r="O8" s="93"/>
      <c r="P8" s="93"/>
      <c r="Q8" s="112">
        <v>3</v>
      </c>
      <c r="R8" s="93"/>
      <c r="S8" s="93"/>
      <c r="T8" s="93"/>
      <c r="U8" s="93"/>
      <c r="V8" s="93"/>
      <c r="W8" s="123">
        <v>80</v>
      </c>
      <c r="X8" s="92">
        <v>40</v>
      </c>
      <c r="Y8" s="94">
        <v>28</v>
      </c>
      <c r="Z8" s="94">
        <v>6</v>
      </c>
      <c r="AA8" s="122">
        <v>11</v>
      </c>
      <c r="AB8" s="94"/>
      <c r="AC8" s="92">
        <v>2</v>
      </c>
      <c r="AD8" s="94">
        <v>3</v>
      </c>
      <c r="AE8" s="94">
        <v>1</v>
      </c>
      <c r="AF8" s="93">
        <v>2</v>
      </c>
      <c r="AG8" s="92">
        <v>3</v>
      </c>
      <c r="AH8" s="93">
        <v>2</v>
      </c>
      <c r="AI8" s="93">
        <v>1</v>
      </c>
      <c r="AJ8" s="93"/>
      <c r="AK8" s="93">
        <v>1</v>
      </c>
      <c r="AL8" s="45" t="s">
        <v>49</v>
      </c>
      <c r="AM8" s="123">
        <v>27</v>
      </c>
      <c r="AN8" s="112">
        <v>23</v>
      </c>
      <c r="AO8" s="92">
        <v>6</v>
      </c>
      <c r="AP8" s="93">
        <v>1</v>
      </c>
      <c r="AQ8" s="92"/>
      <c r="AR8" s="169">
        <v>50</v>
      </c>
      <c r="AS8" s="93">
        <v>7</v>
      </c>
      <c r="AT8" s="109">
        <v>11</v>
      </c>
      <c r="AU8" s="93">
        <v>1</v>
      </c>
      <c r="AV8" s="112">
        <v>6</v>
      </c>
      <c r="AW8" s="92">
        <v>1</v>
      </c>
      <c r="AX8" s="93"/>
      <c r="AY8" s="95">
        <v>5</v>
      </c>
      <c r="AZ8" s="108">
        <v>10</v>
      </c>
      <c r="BA8" s="112">
        <v>7</v>
      </c>
      <c r="BB8" s="129"/>
      <c r="BC8" s="169">
        <v>43</v>
      </c>
      <c r="BD8" s="93">
        <v>3</v>
      </c>
      <c r="BE8" s="123">
        <v>19</v>
      </c>
      <c r="BF8" s="93">
        <v>1</v>
      </c>
      <c r="BG8" s="142">
        <v>14</v>
      </c>
      <c r="BH8" s="114">
        <v>8</v>
      </c>
      <c r="BI8" s="93">
        <v>1</v>
      </c>
      <c r="BJ8" s="93">
        <v>1</v>
      </c>
      <c r="BK8" s="112">
        <v>3</v>
      </c>
      <c r="BL8" s="112">
        <v>3</v>
      </c>
      <c r="BM8" s="142">
        <v>11</v>
      </c>
      <c r="BN8" s="91">
        <v>4</v>
      </c>
      <c r="BO8" s="109">
        <v>5</v>
      </c>
      <c r="BP8" s="91">
        <v>1</v>
      </c>
      <c r="BQ8" s="93">
        <v>4</v>
      </c>
      <c r="BR8" s="47"/>
      <c r="BS8" s="174">
        <v>7</v>
      </c>
      <c r="BT8" s="123">
        <v>11</v>
      </c>
      <c r="BU8" s="160">
        <v>4</v>
      </c>
      <c r="BV8" s="49"/>
      <c r="BW8" s="48"/>
      <c r="BX8" s="69"/>
      <c r="BY8" s="108">
        <v>4</v>
      </c>
      <c r="BZ8" s="92"/>
      <c r="CA8" s="92">
        <v>1</v>
      </c>
      <c r="CB8" s="93">
        <v>2</v>
      </c>
      <c r="CC8" s="92"/>
      <c r="CD8" s="178">
        <v>1</v>
      </c>
      <c r="CE8" s="123">
        <v>4</v>
      </c>
      <c r="CF8" s="129"/>
      <c r="CG8" s="46"/>
      <c r="CH8" s="46">
        <v>3</v>
      </c>
      <c r="CI8" s="69">
        <v>1</v>
      </c>
      <c r="CJ8" s="91"/>
      <c r="CK8" s="47"/>
      <c r="CL8" s="69"/>
      <c r="CM8" s="47">
        <v>1</v>
      </c>
      <c r="CN8" s="47"/>
      <c r="CO8" s="48"/>
      <c r="CP8" s="48"/>
      <c r="CQ8" s="49"/>
      <c r="CR8" s="47"/>
      <c r="CS8" s="49">
        <v>2</v>
      </c>
      <c r="CT8" s="47">
        <v>1</v>
      </c>
      <c r="CU8" s="69"/>
      <c r="CV8" s="157">
        <v>3</v>
      </c>
      <c r="CW8" s="142">
        <v>6</v>
      </c>
      <c r="CX8" s="93"/>
      <c r="CY8" s="47">
        <v>2</v>
      </c>
      <c r="CZ8" s="50"/>
      <c r="DA8" s="47">
        <v>2</v>
      </c>
      <c r="DB8" s="46"/>
      <c r="DC8" s="50"/>
      <c r="DD8" s="47">
        <v>1</v>
      </c>
      <c r="DE8" s="48"/>
      <c r="DF8" s="49">
        <v>1</v>
      </c>
      <c r="DG8" s="91"/>
      <c r="DH8" s="93"/>
      <c r="DI8" s="47"/>
      <c r="DJ8" s="47"/>
      <c r="DK8" s="158"/>
      <c r="DW8" s="87"/>
      <c r="DZ8" s="92">
        <v>1</v>
      </c>
    </row>
    <row r="9" spans="1:130" ht="36" customHeight="1" thickTop="1" x14ac:dyDescent="0.5">
      <c r="A9" s="12" t="s">
        <v>11</v>
      </c>
      <c r="B9" s="13" t="s">
        <v>18</v>
      </c>
      <c r="C9" s="12">
        <v>1908</v>
      </c>
      <c r="D9" s="51" t="s">
        <v>7</v>
      </c>
      <c r="E9" s="35" t="s">
        <v>191</v>
      </c>
      <c r="F9" s="27"/>
      <c r="G9" s="98">
        <v>5</v>
      </c>
      <c r="H9" s="98">
        <v>3</v>
      </c>
      <c r="I9" s="97">
        <v>9</v>
      </c>
      <c r="J9" s="97">
        <v>4</v>
      </c>
      <c r="K9" s="97">
        <v>6</v>
      </c>
      <c r="L9" s="97">
        <v>6</v>
      </c>
      <c r="M9" s="98"/>
      <c r="N9" s="98"/>
      <c r="O9" s="98"/>
      <c r="P9" s="98"/>
      <c r="Q9" s="98"/>
      <c r="R9" s="98"/>
      <c r="S9" s="98"/>
      <c r="T9" s="98"/>
      <c r="U9" s="98"/>
      <c r="V9" s="98"/>
      <c r="W9" s="100">
        <v>23</v>
      </c>
      <c r="X9" s="97">
        <v>21</v>
      </c>
      <c r="Y9" s="120">
        <v>41</v>
      </c>
      <c r="Z9" s="99">
        <v>1</v>
      </c>
      <c r="AA9" s="99">
        <v>3</v>
      </c>
      <c r="AB9" s="99"/>
      <c r="AC9" s="97"/>
      <c r="AD9" s="120">
        <v>4</v>
      </c>
      <c r="AE9" s="99"/>
      <c r="AF9" s="98">
        <v>1</v>
      </c>
      <c r="AG9" s="97"/>
      <c r="AH9" s="98"/>
      <c r="AI9" s="98"/>
      <c r="AJ9" s="98"/>
      <c r="AK9" s="98"/>
      <c r="AL9" s="27" t="s">
        <v>43</v>
      </c>
      <c r="AM9" s="168">
        <v>37</v>
      </c>
      <c r="AN9" s="98">
        <v>16</v>
      </c>
      <c r="AO9" s="97">
        <v>10</v>
      </c>
      <c r="AP9" s="98"/>
      <c r="AQ9" s="97"/>
      <c r="AR9" s="96">
        <v>7</v>
      </c>
      <c r="AS9" s="98">
        <v>3</v>
      </c>
      <c r="AT9" s="97">
        <v>2</v>
      </c>
      <c r="AU9" s="98">
        <v>3</v>
      </c>
      <c r="AV9" s="98"/>
      <c r="AW9" s="97">
        <v>1</v>
      </c>
      <c r="AX9" s="98"/>
      <c r="AY9" s="147">
        <v>18</v>
      </c>
      <c r="AZ9" s="170">
        <v>11</v>
      </c>
      <c r="BA9" s="98">
        <v>2</v>
      </c>
      <c r="BB9" s="130">
        <v>1</v>
      </c>
      <c r="BC9" s="96">
        <v>9</v>
      </c>
      <c r="BD9" s="98"/>
      <c r="BE9" s="100">
        <v>7</v>
      </c>
      <c r="BF9" s="98"/>
      <c r="BG9" s="96">
        <v>6</v>
      </c>
      <c r="BH9" s="145">
        <v>5</v>
      </c>
      <c r="BI9" s="98">
        <v>1</v>
      </c>
      <c r="BJ9" s="98"/>
      <c r="BK9" s="98"/>
      <c r="BL9" s="98"/>
      <c r="BM9" s="172">
        <v>17</v>
      </c>
      <c r="BN9" s="96">
        <v>3</v>
      </c>
      <c r="BO9" s="97"/>
      <c r="BP9" s="172">
        <v>7</v>
      </c>
      <c r="BQ9" s="98"/>
      <c r="BR9" s="53">
        <v>1</v>
      </c>
      <c r="BS9" s="54">
        <v>4</v>
      </c>
      <c r="BT9" s="100">
        <v>3</v>
      </c>
      <c r="BU9" s="52">
        <v>2</v>
      </c>
      <c r="BV9" s="55"/>
      <c r="BW9" s="54"/>
      <c r="BX9" s="57"/>
      <c r="BY9" s="98"/>
      <c r="BZ9" s="97"/>
      <c r="CA9" s="97"/>
      <c r="CB9" s="98"/>
      <c r="CC9" s="97"/>
      <c r="CD9" s="165"/>
      <c r="CE9" s="100">
        <v>1</v>
      </c>
      <c r="CF9" s="130">
        <v>2</v>
      </c>
      <c r="CG9" s="167">
        <v>5</v>
      </c>
      <c r="CH9" s="52"/>
      <c r="CI9" s="57"/>
      <c r="CJ9" s="96"/>
      <c r="CK9" s="53"/>
      <c r="CL9" s="57"/>
      <c r="CM9" s="155">
        <v>3</v>
      </c>
      <c r="CN9" s="53">
        <v>1</v>
      </c>
      <c r="CO9" s="54"/>
      <c r="CP9" s="54"/>
      <c r="CQ9" s="55"/>
      <c r="CR9" s="53"/>
      <c r="CS9" s="55"/>
      <c r="CT9" s="53"/>
      <c r="CU9" s="57"/>
      <c r="CV9" s="53"/>
      <c r="CW9" s="96"/>
      <c r="CX9" s="98"/>
      <c r="CY9" s="53"/>
      <c r="CZ9" s="56">
        <v>1</v>
      </c>
      <c r="DA9" s="53">
        <v>1</v>
      </c>
      <c r="DB9" s="53">
        <v>1</v>
      </c>
      <c r="DC9" s="56"/>
      <c r="DD9" s="53"/>
      <c r="DE9" s="54"/>
      <c r="DF9" s="55"/>
      <c r="DG9" s="96"/>
      <c r="DH9" s="98"/>
      <c r="DI9" s="53">
        <v>1</v>
      </c>
      <c r="DJ9" s="53"/>
      <c r="DK9" s="158"/>
      <c r="DW9" s="87"/>
      <c r="DZ9" s="97"/>
    </row>
    <row r="10" spans="1:130" ht="32.4" customHeight="1" thickBot="1" x14ac:dyDescent="0.55000000000000004">
      <c r="A10" s="1" t="s">
        <v>19</v>
      </c>
      <c r="B10" s="2" t="s">
        <v>20</v>
      </c>
      <c r="C10" s="1">
        <v>1908</v>
      </c>
      <c r="D10" s="43" t="s">
        <v>15</v>
      </c>
      <c r="E10" s="35" t="s">
        <v>192</v>
      </c>
      <c r="F10" s="36" t="s">
        <v>48</v>
      </c>
      <c r="G10" s="88">
        <v>22</v>
      </c>
      <c r="H10" s="107">
        <v>37</v>
      </c>
      <c r="I10" s="110">
        <v>21</v>
      </c>
      <c r="J10" s="113">
        <v>31</v>
      </c>
      <c r="K10" s="110">
        <v>11</v>
      </c>
      <c r="L10" s="110">
        <v>15</v>
      </c>
      <c r="M10" s="88">
        <v>1</v>
      </c>
      <c r="N10" s="88"/>
      <c r="O10" s="88">
        <v>2</v>
      </c>
      <c r="P10" s="88"/>
      <c r="Q10" s="88"/>
      <c r="R10" s="88"/>
      <c r="S10" s="88"/>
      <c r="T10" s="88"/>
      <c r="U10" s="88"/>
      <c r="V10" s="88"/>
      <c r="W10" s="118">
        <v>76</v>
      </c>
      <c r="X10" s="110">
        <v>44</v>
      </c>
      <c r="Y10" s="125">
        <v>90</v>
      </c>
      <c r="Z10" s="119">
        <v>20</v>
      </c>
      <c r="AA10" s="119">
        <v>14</v>
      </c>
      <c r="AB10" s="89">
        <v>1</v>
      </c>
      <c r="AC10" s="113">
        <v>13</v>
      </c>
      <c r="AD10" s="89">
        <v>3</v>
      </c>
      <c r="AE10" s="89">
        <v>3</v>
      </c>
      <c r="AF10" s="88"/>
      <c r="AG10" s="87">
        <v>2</v>
      </c>
      <c r="AH10" s="88">
        <v>1</v>
      </c>
      <c r="AI10" s="88"/>
      <c r="AJ10" s="111">
        <v>5</v>
      </c>
      <c r="AK10" s="88"/>
      <c r="AL10" s="36" t="s">
        <v>47</v>
      </c>
      <c r="AM10" s="90">
        <v>17</v>
      </c>
      <c r="AN10" s="111">
        <v>23</v>
      </c>
      <c r="AO10" s="110">
        <v>14</v>
      </c>
      <c r="AP10" s="88">
        <v>2</v>
      </c>
      <c r="AQ10" s="87"/>
      <c r="AR10" s="86">
        <v>22</v>
      </c>
      <c r="AS10" s="107">
        <v>14</v>
      </c>
      <c r="AT10" s="87">
        <v>1</v>
      </c>
      <c r="AU10" s="88">
        <v>1</v>
      </c>
      <c r="AV10" s="88">
        <v>1</v>
      </c>
      <c r="AW10" s="87">
        <v>1</v>
      </c>
      <c r="AX10" s="88"/>
      <c r="AY10" s="124">
        <v>19</v>
      </c>
      <c r="AZ10" s="88">
        <v>7</v>
      </c>
      <c r="BA10" s="111">
        <v>7</v>
      </c>
      <c r="BB10" s="128"/>
      <c r="BC10" s="143">
        <v>16</v>
      </c>
      <c r="BD10" s="88"/>
      <c r="BE10" s="124">
        <v>28</v>
      </c>
      <c r="BF10" s="88">
        <v>1</v>
      </c>
      <c r="BG10" s="143">
        <v>13</v>
      </c>
      <c r="BH10" s="87">
        <v>4</v>
      </c>
      <c r="BI10" s="88"/>
      <c r="BJ10" s="88"/>
      <c r="BK10" s="88"/>
      <c r="BL10" s="88"/>
      <c r="BM10" s="86">
        <v>2</v>
      </c>
      <c r="BN10" s="143">
        <v>5</v>
      </c>
      <c r="BO10" s="87">
        <v>2</v>
      </c>
      <c r="BP10" s="86"/>
      <c r="BQ10" s="107">
        <v>6</v>
      </c>
      <c r="BR10" s="38">
        <v>2</v>
      </c>
      <c r="BS10" s="39"/>
      <c r="BT10" s="90">
        <v>1</v>
      </c>
      <c r="BU10" s="37">
        <v>3</v>
      </c>
      <c r="BV10" s="176">
        <v>4</v>
      </c>
      <c r="BW10" s="154">
        <v>4</v>
      </c>
      <c r="BX10" s="42"/>
      <c r="BY10" s="88">
        <v>2</v>
      </c>
      <c r="BZ10" s="87"/>
      <c r="CA10" s="87"/>
      <c r="CB10" s="88"/>
      <c r="CC10" s="87"/>
      <c r="CD10" s="163"/>
      <c r="CE10" s="90">
        <v>1</v>
      </c>
      <c r="CF10" s="128"/>
      <c r="CG10" s="161">
        <v>5</v>
      </c>
      <c r="CH10" s="37">
        <v>3</v>
      </c>
      <c r="CI10" s="42"/>
      <c r="CJ10" s="86"/>
      <c r="CK10" s="38"/>
      <c r="CL10" s="42"/>
      <c r="CM10" s="38"/>
      <c r="CN10" s="38"/>
      <c r="CO10" s="39"/>
      <c r="CP10" s="39"/>
      <c r="CQ10" s="40"/>
      <c r="CR10" s="38"/>
      <c r="CS10" s="40"/>
      <c r="CT10" s="38"/>
      <c r="CU10" s="42"/>
      <c r="CV10" s="38">
        <v>2</v>
      </c>
      <c r="CW10" s="86"/>
      <c r="CX10" s="88"/>
      <c r="CY10" s="38"/>
      <c r="CZ10" s="41"/>
      <c r="DA10" s="38">
        <v>1</v>
      </c>
      <c r="DB10" s="38"/>
      <c r="DC10" s="41"/>
      <c r="DD10" s="153">
        <v>2</v>
      </c>
      <c r="DE10" s="39"/>
      <c r="DF10" s="40"/>
      <c r="DG10" s="86">
        <v>1</v>
      </c>
      <c r="DH10" s="88"/>
      <c r="DI10" s="38"/>
      <c r="DJ10" s="38"/>
      <c r="DK10" s="158"/>
      <c r="DW10" s="92">
        <v>1</v>
      </c>
      <c r="DZ10" s="87"/>
    </row>
    <row r="11" spans="1:130" ht="39.6" customHeight="1" thickTop="1" x14ac:dyDescent="0.5">
      <c r="A11" s="140" t="s">
        <v>21</v>
      </c>
      <c r="B11" s="2" t="s">
        <v>22</v>
      </c>
      <c r="C11" s="1">
        <v>1909</v>
      </c>
      <c r="D11" s="43" t="s">
        <v>7</v>
      </c>
      <c r="E11" s="35" t="s">
        <v>193</v>
      </c>
      <c r="F11" s="36" t="s">
        <v>54</v>
      </c>
      <c r="G11" s="88">
        <v>2</v>
      </c>
      <c r="H11" s="88">
        <v>1</v>
      </c>
      <c r="I11" s="87">
        <v>1</v>
      </c>
      <c r="J11" s="87"/>
      <c r="K11" s="87">
        <v>1</v>
      </c>
      <c r="L11" s="87">
        <v>1</v>
      </c>
      <c r="M11" s="88"/>
      <c r="N11" s="88">
        <v>2</v>
      </c>
      <c r="O11" s="88"/>
      <c r="P11" s="88"/>
      <c r="Q11" s="88"/>
      <c r="R11" s="88"/>
      <c r="S11" s="88"/>
      <c r="T11" s="88"/>
      <c r="U11" s="88"/>
      <c r="V11" s="88"/>
      <c r="W11" s="90">
        <v>9</v>
      </c>
      <c r="X11" s="87">
        <v>5</v>
      </c>
      <c r="Y11" s="89"/>
      <c r="Z11" s="89"/>
      <c r="AA11" s="89">
        <v>1</v>
      </c>
      <c r="AB11" s="89"/>
      <c r="AC11" s="87"/>
      <c r="AD11" s="89"/>
      <c r="AE11" s="89">
        <v>1</v>
      </c>
      <c r="AF11" s="111">
        <v>5</v>
      </c>
      <c r="AG11" s="87"/>
      <c r="AH11" s="88"/>
      <c r="AI11" s="88"/>
      <c r="AJ11" s="88"/>
      <c r="AK11" s="88"/>
      <c r="AL11" s="36"/>
      <c r="AM11" s="90">
        <v>14</v>
      </c>
      <c r="AN11" s="88">
        <v>5</v>
      </c>
      <c r="AO11" s="87">
        <v>6</v>
      </c>
      <c r="AP11" s="88">
        <v>1</v>
      </c>
      <c r="AQ11" s="87"/>
      <c r="AR11" s="86">
        <v>19</v>
      </c>
      <c r="AS11" s="88">
        <v>1</v>
      </c>
      <c r="AT11" s="87">
        <v>5</v>
      </c>
      <c r="AU11" s="88"/>
      <c r="AV11" s="88">
        <v>1</v>
      </c>
      <c r="AW11" s="87">
        <v>1</v>
      </c>
      <c r="AX11" s="88"/>
      <c r="AY11" s="118">
        <v>16</v>
      </c>
      <c r="AZ11" s="88">
        <v>4</v>
      </c>
      <c r="BA11" s="88">
        <v>1</v>
      </c>
      <c r="BB11" s="128">
        <v>1</v>
      </c>
      <c r="BC11" s="86"/>
      <c r="BD11" s="88"/>
      <c r="BE11" s="90">
        <v>5</v>
      </c>
      <c r="BF11" s="88"/>
      <c r="BG11" s="86">
        <v>5</v>
      </c>
      <c r="BH11" s="87">
        <v>3</v>
      </c>
      <c r="BI11" s="88"/>
      <c r="BJ11" s="88"/>
      <c r="BK11" s="88"/>
      <c r="BL11" s="88"/>
      <c r="BM11" s="86">
        <v>4</v>
      </c>
      <c r="BN11" s="86"/>
      <c r="BO11" s="87"/>
      <c r="BP11" s="86">
        <v>1</v>
      </c>
      <c r="BQ11" s="88">
        <v>2</v>
      </c>
      <c r="BR11" s="150">
        <v>4</v>
      </c>
      <c r="BS11" s="39">
        <v>1</v>
      </c>
      <c r="BT11" s="90"/>
      <c r="BU11" s="37">
        <v>1</v>
      </c>
      <c r="BV11" s="40"/>
      <c r="BW11" s="39"/>
      <c r="BX11" s="42"/>
      <c r="BY11" s="88"/>
      <c r="BZ11" s="87"/>
      <c r="CA11" s="87"/>
      <c r="CB11" s="88"/>
      <c r="CC11" s="87"/>
      <c r="CD11" s="163"/>
      <c r="CE11" s="90">
        <v>2</v>
      </c>
      <c r="CF11" s="128"/>
      <c r="CG11" s="37"/>
      <c r="CH11" s="37"/>
      <c r="CI11" s="42"/>
      <c r="CJ11" s="86"/>
      <c r="CK11" s="38"/>
      <c r="CL11" s="42"/>
      <c r="CM11" s="38"/>
      <c r="CN11" s="38"/>
      <c r="CO11" s="39"/>
      <c r="CP11" s="39"/>
      <c r="CQ11" s="40"/>
      <c r="CR11" s="38"/>
      <c r="CS11" s="40"/>
      <c r="CT11" s="38"/>
      <c r="CU11" s="42"/>
      <c r="CV11" s="153">
        <v>3</v>
      </c>
      <c r="CW11" s="86"/>
      <c r="CX11" s="88"/>
      <c r="CY11" s="153">
        <v>3</v>
      </c>
      <c r="CZ11" s="41"/>
      <c r="DA11" s="38"/>
      <c r="DB11" s="38"/>
      <c r="DC11" s="41"/>
      <c r="DD11" s="38"/>
      <c r="DE11" s="39"/>
      <c r="DF11" s="40"/>
      <c r="DG11" s="86"/>
      <c r="DH11" s="88"/>
      <c r="DI11" s="38"/>
      <c r="DJ11" s="38"/>
      <c r="DK11" s="158"/>
      <c r="DW11" s="97"/>
      <c r="DZ11" s="87"/>
    </row>
    <row r="12" spans="1:130" ht="34.200000000000003" customHeight="1" x14ac:dyDescent="0.5">
      <c r="A12" s="1" t="s">
        <v>23</v>
      </c>
      <c r="B12" s="2" t="s">
        <v>24</v>
      </c>
      <c r="C12" s="1">
        <v>1909</v>
      </c>
      <c r="D12" s="43" t="s">
        <v>15</v>
      </c>
      <c r="E12" s="35" t="s">
        <v>194</v>
      </c>
      <c r="F12" s="36" t="s">
        <v>42</v>
      </c>
      <c r="G12" s="88">
        <v>3</v>
      </c>
      <c r="H12" s="88">
        <v>3</v>
      </c>
      <c r="I12" s="87"/>
      <c r="J12" s="87">
        <v>1</v>
      </c>
      <c r="K12" s="87">
        <v>3</v>
      </c>
      <c r="L12" s="87">
        <v>1</v>
      </c>
      <c r="M12" s="88"/>
      <c r="N12" s="88"/>
      <c r="O12" s="88">
        <v>1</v>
      </c>
      <c r="P12" s="88"/>
      <c r="Q12" s="88"/>
      <c r="R12" s="88"/>
      <c r="S12" s="88"/>
      <c r="T12" s="88"/>
      <c r="U12" s="88"/>
      <c r="V12" s="88"/>
      <c r="W12" s="90">
        <v>10</v>
      </c>
      <c r="X12" s="87">
        <v>3</v>
      </c>
      <c r="Y12" s="89">
        <v>5</v>
      </c>
      <c r="Z12" s="89">
        <v>1</v>
      </c>
      <c r="AA12" s="89"/>
      <c r="AB12" s="119">
        <v>4</v>
      </c>
      <c r="AC12" s="110">
        <v>7</v>
      </c>
      <c r="AD12" s="89"/>
      <c r="AE12" s="89"/>
      <c r="AF12" s="88"/>
      <c r="AG12" s="87"/>
      <c r="AH12" s="88"/>
      <c r="AI12" s="88"/>
      <c r="AJ12" s="88"/>
      <c r="AK12" s="88"/>
      <c r="AL12" s="36" t="s">
        <v>104</v>
      </c>
      <c r="AM12" s="90">
        <v>19</v>
      </c>
      <c r="AN12" s="88">
        <v>10</v>
      </c>
      <c r="AO12" s="113">
        <v>22</v>
      </c>
      <c r="AP12" s="111">
        <v>5</v>
      </c>
      <c r="AQ12" s="87"/>
      <c r="AR12" s="86">
        <v>4</v>
      </c>
      <c r="AS12" s="88"/>
      <c r="AT12" s="87">
        <v>1</v>
      </c>
      <c r="AU12" s="88"/>
      <c r="AV12" s="88"/>
      <c r="AW12" s="87"/>
      <c r="AX12" s="88"/>
      <c r="AY12" s="90">
        <v>5</v>
      </c>
      <c r="AZ12" s="88"/>
      <c r="BA12" s="88"/>
      <c r="BB12" s="128"/>
      <c r="BC12" s="86">
        <v>2</v>
      </c>
      <c r="BD12" s="88"/>
      <c r="BE12" s="90">
        <v>6</v>
      </c>
      <c r="BF12" s="88"/>
      <c r="BG12" s="86"/>
      <c r="BH12" s="87"/>
      <c r="BI12" s="88"/>
      <c r="BJ12" s="88"/>
      <c r="BK12" s="88"/>
      <c r="BL12" s="88"/>
      <c r="BM12" s="86">
        <v>3</v>
      </c>
      <c r="BN12" s="86">
        <v>1</v>
      </c>
      <c r="BO12" s="87">
        <v>1</v>
      </c>
      <c r="BP12" s="86"/>
      <c r="BQ12" s="88"/>
      <c r="BR12" s="38">
        <v>2</v>
      </c>
      <c r="BS12" s="39"/>
      <c r="BT12" s="90"/>
      <c r="BU12" s="37"/>
      <c r="BV12" s="40"/>
      <c r="BW12" s="39"/>
      <c r="BX12" s="42"/>
      <c r="BY12" s="88"/>
      <c r="BZ12" s="87"/>
      <c r="CA12" s="87"/>
      <c r="CB12" s="88"/>
      <c r="CC12" s="87"/>
      <c r="CD12" s="163"/>
      <c r="CE12" s="90">
        <v>2</v>
      </c>
      <c r="CF12" s="128"/>
      <c r="CG12" s="37"/>
      <c r="CH12" s="37"/>
      <c r="CI12" s="42"/>
      <c r="CJ12" s="86"/>
      <c r="CK12" s="38">
        <v>1</v>
      </c>
      <c r="CL12" s="42"/>
      <c r="CM12" s="38">
        <v>2</v>
      </c>
      <c r="CN12" s="38"/>
      <c r="CO12" s="39"/>
      <c r="CP12" s="39"/>
      <c r="CQ12" s="40"/>
      <c r="CR12" s="38"/>
      <c r="CS12" s="40"/>
      <c r="CT12" s="38"/>
      <c r="CU12" s="42"/>
      <c r="CV12" s="38"/>
      <c r="CW12" s="86"/>
      <c r="CX12" s="88"/>
      <c r="CY12" s="38"/>
      <c r="CZ12" s="41"/>
      <c r="DA12" s="38"/>
      <c r="DB12" s="38"/>
      <c r="DC12" s="41">
        <v>1</v>
      </c>
      <c r="DD12" s="38"/>
      <c r="DE12" s="39"/>
      <c r="DF12" s="40"/>
      <c r="DG12" s="86"/>
      <c r="DH12" s="88"/>
      <c r="DI12" s="38"/>
      <c r="DJ12" s="38"/>
      <c r="DK12" s="158"/>
      <c r="DW12" s="87"/>
      <c r="DZ12" s="87"/>
    </row>
    <row r="13" spans="1:130" ht="39.6" customHeight="1" x14ac:dyDescent="0.5">
      <c r="A13" s="1" t="s">
        <v>25</v>
      </c>
      <c r="B13" s="2" t="s">
        <v>26</v>
      </c>
      <c r="C13" s="1">
        <v>1910</v>
      </c>
      <c r="D13" s="43" t="s">
        <v>7</v>
      </c>
      <c r="E13" s="35" t="s">
        <v>195</v>
      </c>
      <c r="F13" s="36" t="s">
        <v>46</v>
      </c>
      <c r="G13" s="88">
        <v>2</v>
      </c>
      <c r="H13" s="88">
        <v>1</v>
      </c>
      <c r="I13" s="87">
        <v>5</v>
      </c>
      <c r="J13" s="87">
        <v>3</v>
      </c>
      <c r="K13" s="87">
        <v>1</v>
      </c>
      <c r="L13" s="87">
        <v>1</v>
      </c>
      <c r="M13" s="88"/>
      <c r="N13" s="88">
        <v>2</v>
      </c>
      <c r="O13" s="88"/>
      <c r="P13" s="88"/>
      <c r="Q13" s="88"/>
      <c r="R13" s="88"/>
      <c r="S13" s="88"/>
      <c r="T13" s="88"/>
      <c r="U13" s="88"/>
      <c r="V13" s="88"/>
      <c r="W13" s="90">
        <v>29</v>
      </c>
      <c r="X13" s="87">
        <v>23</v>
      </c>
      <c r="Y13" s="89">
        <v>6</v>
      </c>
      <c r="Z13" s="89">
        <v>2</v>
      </c>
      <c r="AA13" s="89"/>
      <c r="AB13" s="89"/>
      <c r="AC13" s="87"/>
      <c r="AD13" s="89"/>
      <c r="AE13" s="89">
        <v>2</v>
      </c>
      <c r="AF13" s="88">
        <v>3</v>
      </c>
      <c r="AG13" s="87"/>
      <c r="AH13" s="88"/>
      <c r="AI13" s="88">
        <v>1</v>
      </c>
      <c r="AJ13" s="88"/>
      <c r="AK13" s="111">
        <v>4</v>
      </c>
      <c r="AL13" s="36" t="s">
        <v>46</v>
      </c>
      <c r="AM13" s="90">
        <v>9</v>
      </c>
      <c r="AN13" s="88">
        <v>8</v>
      </c>
      <c r="AO13" s="87">
        <v>1</v>
      </c>
      <c r="AP13" s="88"/>
      <c r="AQ13" s="87"/>
      <c r="AR13" s="143">
        <v>30</v>
      </c>
      <c r="AS13" s="88">
        <v>4</v>
      </c>
      <c r="AT13" s="87">
        <v>3</v>
      </c>
      <c r="AU13" s="107">
        <v>5</v>
      </c>
      <c r="AV13" s="88"/>
      <c r="AW13" s="87"/>
      <c r="AX13" s="88"/>
      <c r="AY13" s="118">
        <v>16</v>
      </c>
      <c r="AZ13" s="88"/>
      <c r="BA13" s="88">
        <v>2</v>
      </c>
      <c r="BB13" s="128"/>
      <c r="BC13" s="86">
        <v>2</v>
      </c>
      <c r="BD13" s="88"/>
      <c r="BE13" s="90">
        <v>15</v>
      </c>
      <c r="BF13" s="88"/>
      <c r="BG13" s="143">
        <v>13</v>
      </c>
      <c r="BH13" s="87">
        <v>1</v>
      </c>
      <c r="BI13" s="88">
        <v>1</v>
      </c>
      <c r="BJ13" s="88"/>
      <c r="BK13" s="88"/>
      <c r="BL13" s="88"/>
      <c r="BM13" s="143">
        <v>8</v>
      </c>
      <c r="BN13" s="86">
        <v>1</v>
      </c>
      <c r="BO13" s="87">
        <v>3</v>
      </c>
      <c r="BP13" s="86">
        <v>1</v>
      </c>
      <c r="BQ13" s="88">
        <v>1</v>
      </c>
      <c r="BR13" s="38">
        <v>1</v>
      </c>
      <c r="BS13" s="151">
        <v>6</v>
      </c>
      <c r="BT13" s="90">
        <v>4</v>
      </c>
      <c r="BU13" s="37">
        <v>2</v>
      </c>
      <c r="BV13" s="40">
        <v>3</v>
      </c>
      <c r="BW13" s="39"/>
      <c r="BX13" s="42"/>
      <c r="BY13" s="107">
        <v>4</v>
      </c>
      <c r="BZ13" s="87"/>
      <c r="CA13" s="87"/>
      <c r="CB13" s="88"/>
      <c r="CC13" s="87"/>
      <c r="CD13" s="163"/>
      <c r="CE13" s="90">
        <v>1</v>
      </c>
      <c r="CF13" s="128"/>
      <c r="CG13" s="37">
        <v>4</v>
      </c>
      <c r="CH13" s="37"/>
      <c r="CI13" s="42">
        <v>1</v>
      </c>
      <c r="CJ13" s="86"/>
      <c r="CK13" s="38">
        <v>1</v>
      </c>
      <c r="CL13" s="42"/>
      <c r="CM13" s="38">
        <v>2</v>
      </c>
      <c r="CN13" s="38"/>
      <c r="CO13" s="39"/>
      <c r="CP13" s="39"/>
      <c r="CQ13" s="40"/>
      <c r="CR13" s="38"/>
      <c r="CS13" s="40"/>
      <c r="CT13" s="38"/>
      <c r="CU13" s="42"/>
      <c r="CV13" s="38"/>
      <c r="CW13" s="86"/>
      <c r="CX13" s="88"/>
      <c r="CY13" s="153">
        <v>3</v>
      </c>
      <c r="CZ13" s="41"/>
      <c r="DA13" s="38"/>
      <c r="DB13" s="38">
        <v>1</v>
      </c>
      <c r="DC13" s="41">
        <v>1</v>
      </c>
      <c r="DD13" s="38"/>
      <c r="DE13" s="154">
        <v>2</v>
      </c>
      <c r="DF13" s="40"/>
      <c r="DG13" s="86">
        <v>1</v>
      </c>
      <c r="DH13" s="88"/>
      <c r="DI13" s="38">
        <v>1</v>
      </c>
      <c r="DJ13" s="153">
        <v>3</v>
      </c>
      <c r="DK13" s="158"/>
      <c r="DW13" s="87"/>
      <c r="DZ13" s="87"/>
    </row>
    <row r="14" spans="1:130" ht="44.4" customHeight="1" thickBot="1" x14ac:dyDescent="0.55000000000000004">
      <c r="A14" s="14" t="s">
        <v>27</v>
      </c>
      <c r="B14" s="58" t="s">
        <v>28</v>
      </c>
      <c r="C14" s="59">
        <v>1910</v>
      </c>
      <c r="D14" s="60" t="s">
        <v>29</v>
      </c>
      <c r="E14" s="67" t="s">
        <v>196</v>
      </c>
      <c r="F14" s="45" t="s">
        <v>49</v>
      </c>
      <c r="G14" s="103">
        <v>11</v>
      </c>
      <c r="H14" s="103">
        <v>5</v>
      </c>
      <c r="I14" s="102">
        <v>3</v>
      </c>
      <c r="J14" s="102">
        <v>2</v>
      </c>
      <c r="K14" s="102">
        <v>6</v>
      </c>
      <c r="L14" s="102">
        <v>9</v>
      </c>
      <c r="M14" s="103"/>
      <c r="N14" s="103">
        <v>1</v>
      </c>
      <c r="O14" s="103"/>
      <c r="P14" s="103"/>
      <c r="Q14" s="103"/>
      <c r="R14" s="103"/>
      <c r="S14" s="103"/>
      <c r="T14" s="103"/>
      <c r="U14" s="103">
        <v>1</v>
      </c>
      <c r="V14" s="103"/>
      <c r="W14" s="105">
        <v>14</v>
      </c>
      <c r="X14" s="102">
        <v>14</v>
      </c>
      <c r="Y14" s="104">
        <v>5</v>
      </c>
      <c r="Z14" s="104">
        <v>1</v>
      </c>
      <c r="AA14" s="104">
        <v>2</v>
      </c>
      <c r="AB14" s="104"/>
      <c r="AC14" s="102"/>
      <c r="AD14" s="104">
        <v>1</v>
      </c>
      <c r="AE14" s="104">
        <v>1</v>
      </c>
      <c r="AF14" s="103">
        <v>1</v>
      </c>
      <c r="AG14" s="102"/>
      <c r="AH14" s="103"/>
      <c r="AI14" s="103"/>
      <c r="AJ14" s="103"/>
      <c r="AK14" s="103"/>
      <c r="AL14" s="45" t="s">
        <v>49</v>
      </c>
      <c r="AM14" s="105">
        <v>5</v>
      </c>
      <c r="AN14" s="103">
        <v>9</v>
      </c>
      <c r="AO14" s="102">
        <v>2</v>
      </c>
      <c r="AP14" s="103"/>
      <c r="AQ14" s="102"/>
      <c r="AR14" s="101">
        <v>5</v>
      </c>
      <c r="AS14" s="103"/>
      <c r="AT14" s="102"/>
      <c r="AU14" s="103">
        <v>1</v>
      </c>
      <c r="AV14" s="103"/>
      <c r="AW14" s="102"/>
      <c r="AX14" s="103"/>
      <c r="AY14" s="105">
        <v>6</v>
      </c>
      <c r="AZ14" s="103">
        <v>3</v>
      </c>
      <c r="BA14" s="103">
        <v>2</v>
      </c>
      <c r="BB14" s="131"/>
      <c r="BC14" s="101">
        <v>8</v>
      </c>
      <c r="BD14" s="103"/>
      <c r="BE14" s="105">
        <v>7</v>
      </c>
      <c r="BF14" s="103"/>
      <c r="BG14" s="101">
        <v>2</v>
      </c>
      <c r="BH14" s="144">
        <v>6</v>
      </c>
      <c r="BI14" s="103">
        <v>1</v>
      </c>
      <c r="BJ14" s="103"/>
      <c r="BK14" s="103"/>
      <c r="BL14" s="103"/>
      <c r="BM14" s="101">
        <v>2</v>
      </c>
      <c r="BN14" s="101">
        <v>3</v>
      </c>
      <c r="BO14" s="102">
        <v>1</v>
      </c>
      <c r="BP14" s="101">
        <v>2</v>
      </c>
      <c r="BQ14" s="149">
        <v>7</v>
      </c>
      <c r="BR14" s="62">
        <v>1</v>
      </c>
      <c r="BS14" s="63"/>
      <c r="BT14" s="105">
        <v>5</v>
      </c>
      <c r="BU14" s="175">
        <v>7</v>
      </c>
      <c r="BV14" s="64"/>
      <c r="BW14" s="63">
        <v>1</v>
      </c>
      <c r="BX14" s="66"/>
      <c r="BY14" s="103">
        <v>1</v>
      </c>
      <c r="BZ14" s="102"/>
      <c r="CA14" s="102"/>
      <c r="CB14" s="103"/>
      <c r="CC14" s="177">
        <v>1</v>
      </c>
      <c r="CD14" s="166"/>
      <c r="CE14" s="105">
        <v>1</v>
      </c>
      <c r="CF14" s="131"/>
      <c r="CG14" s="61"/>
      <c r="CH14" s="61">
        <v>1</v>
      </c>
      <c r="CI14" s="66"/>
      <c r="CJ14" s="101">
        <v>2</v>
      </c>
      <c r="CK14" s="62">
        <v>1</v>
      </c>
      <c r="CL14" s="66"/>
      <c r="CM14" s="62"/>
      <c r="CN14" s="156">
        <v>4</v>
      </c>
      <c r="CO14" s="63"/>
      <c r="CP14" s="63"/>
      <c r="CQ14" s="64">
        <v>1</v>
      </c>
      <c r="CR14" s="62"/>
      <c r="CS14" s="64"/>
      <c r="CT14" s="62">
        <v>3</v>
      </c>
      <c r="CU14" s="66"/>
      <c r="CV14" s="62"/>
      <c r="CW14" s="101"/>
      <c r="CX14" s="103"/>
      <c r="CY14" s="62"/>
      <c r="CZ14" s="65"/>
      <c r="DA14" s="62"/>
      <c r="DB14" s="62"/>
      <c r="DC14" s="65"/>
      <c r="DD14" s="62"/>
      <c r="DE14" s="63"/>
      <c r="DF14" s="64"/>
      <c r="DG14" s="101"/>
      <c r="DH14" s="103"/>
      <c r="DI14" s="62">
        <v>1</v>
      </c>
      <c r="DJ14" s="62"/>
      <c r="DK14" s="158"/>
      <c r="DW14" s="87"/>
      <c r="DZ14" s="102"/>
    </row>
    <row r="15" spans="1:130" ht="39.6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35" t="s">
        <v>197</v>
      </c>
      <c r="F15" s="27" t="s">
        <v>40</v>
      </c>
      <c r="G15" s="83">
        <v>8</v>
      </c>
      <c r="H15" s="83">
        <v>9</v>
      </c>
      <c r="I15" s="82">
        <v>2</v>
      </c>
      <c r="J15" s="82">
        <v>1</v>
      </c>
      <c r="K15" s="82">
        <v>3</v>
      </c>
      <c r="L15" s="82"/>
      <c r="M15" s="83">
        <v>4</v>
      </c>
      <c r="N15" s="83"/>
      <c r="O15" s="83"/>
      <c r="P15" s="83"/>
      <c r="Q15" s="83"/>
      <c r="R15" s="83"/>
      <c r="S15" s="83"/>
      <c r="T15" s="83"/>
      <c r="U15" s="83"/>
      <c r="V15" s="83"/>
      <c r="W15" s="85">
        <v>45</v>
      </c>
      <c r="X15" s="82">
        <v>14</v>
      </c>
      <c r="Y15" s="84">
        <v>18</v>
      </c>
      <c r="Z15" s="84">
        <v>14</v>
      </c>
      <c r="AA15" s="84">
        <v>3</v>
      </c>
      <c r="AB15" s="126">
        <v>33</v>
      </c>
      <c r="AC15" s="82">
        <v>4</v>
      </c>
      <c r="AD15" s="84">
        <v>3</v>
      </c>
      <c r="AE15" s="84">
        <v>2</v>
      </c>
      <c r="AF15" s="83"/>
      <c r="AG15" s="82"/>
      <c r="AH15" s="115">
        <v>5</v>
      </c>
      <c r="AI15" s="83"/>
      <c r="AJ15" s="83"/>
      <c r="AK15" s="83"/>
      <c r="AL15" s="27" t="s">
        <v>44</v>
      </c>
      <c r="AM15" s="85">
        <v>2</v>
      </c>
      <c r="AN15" s="83">
        <v>2</v>
      </c>
      <c r="AO15" s="82"/>
      <c r="AP15" s="83"/>
      <c r="AQ15" s="82"/>
      <c r="AR15" s="81">
        <v>20</v>
      </c>
      <c r="AS15" s="83">
        <v>3</v>
      </c>
      <c r="AT15" s="79">
        <v>13</v>
      </c>
      <c r="AU15" s="83"/>
      <c r="AV15" s="83"/>
      <c r="AW15" s="82">
        <v>2</v>
      </c>
      <c r="AX15" s="83">
        <v>1</v>
      </c>
      <c r="AY15" s="148">
        <v>18</v>
      </c>
      <c r="AZ15" s="83">
        <v>1</v>
      </c>
      <c r="BA15" s="146">
        <v>4</v>
      </c>
      <c r="BB15" s="127"/>
      <c r="BC15" s="81">
        <v>2</v>
      </c>
      <c r="BD15" s="83"/>
      <c r="BE15" s="85">
        <v>4</v>
      </c>
      <c r="BF15" s="83"/>
      <c r="BG15" s="81">
        <v>3</v>
      </c>
      <c r="BH15" s="82">
        <v>1</v>
      </c>
      <c r="BI15" s="83"/>
      <c r="BJ15" s="83"/>
      <c r="BK15" s="83"/>
      <c r="BL15" s="83"/>
      <c r="BM15" s="81">
        <v>1</v>
      </c>
      <c r="BN15" s="81"/>
      <c r="BO15" s="79">
        <v>4</v>
      </c>
      <c r="BP15" s="81"/>
      <c r="BQ15" s="83">
        <v>4</v>
      </c>
      <c r="BR15" s="29"/>
      <c r="BS15" s="30"/>
      <c r="BT15" s="85"/>
      <c r="BU15" s="28"/>
      <c r="BV15" s="31">
        <v>2</v>
      </c>
      <c r="BW15" s="30"/>
      <c r="BX15" s="33"/>
      <c r="BY15" s="83">
        <v>1</v>
      </c>
      <c r="BZ15" s="82"/>
      <c r="CA15" s="82"/>
      <c r="CB15" s="83">
        <v>1</v>
      </c>
      <c r="CC15" s="82"/>
      <c r="CD15" s="162"/>
      <c r="CE15" s="85">
        <v>1</v>
      </c>
      <c r="CF15" s="127"/>
      <c r="CG15" s="28"/>
      <c r="CH15" s="28">
        <v>2</v>
      </c>
      <c r="CI15" s="33"/>
      <c r="CJ15" s="81"/>
      <c r="CK15" s="152">
        <v>9</v>
      </c>
      <c r="CL15" s="33">
        <v>1</v>
      </c>
      <c r="CM15" s="29">
        <v>1</v>
      </c>
      <c r="CN15" s="29"/>
      <c r="CO15" s="30">
        <v>2</v>
      </c>
      <c r="CP15" s="30"/>
      <c r="CQ15" s="31"/>
      <c r="CR15" s="29">
        <v>1</v>
      </c>
      <c r="CS15" s="31">
        <v>1</v>
      </c>
      <c r="CT15" s="29"/>
      <c r="CU15" s="33"/>
      <c r="CV15" s="29">
        <v>2</v>
      </c>
      <c r="CW15" s="81"/>
      <c r="CX15" s="83"/>
      <c r="CY15" s="29">
        <v>1</v>
      </c>
      <c r="CZ15" s="32"/>
      <c r="DA15" s="29"/>
      <c r="DB15" s="28">
        <v>1</v>
      </c>
      <c r="DC15" s="32"/>
      <c r="DD15" s="29"/>
      <c r="DE15" s="30"/>
      <c r="DF15" s="31"/>
      <c r="DG15" s="81"/>
      <c r="DH15" s="83"/>
      <c r="DI15" s="29">
        <v>1</v>
      </c>
      <c r="DJ15" s="29"/>
      <c r="DK15" s="158"/>
      <c r="DW15" s="87"/>
      <c r="DZ15" s="82"/>
    </row>
    <row r="16" spans="1:130" ht="31.2" customHeight="1" thickBot="1" x14ac:dyDescent="0.55000000000000004">
      <c r="A16" s="8" t="s">
        <v>32</v>
      </c>
      <c r="B16" s="2" t="s">
        <v>33</v>
      </c>
      <c r="C16" s="1">
        <v>1912</v>
      </c>
      <c r="D16" s="43" t="s">
        <v>7</v>
      </c>
      <c r="E16" s="35" t="s">
        <v>198</v>
      </c>
      <c r="F16" s="36"/>
      <c r="G16" s="111">
        <v>48</v>
      </c>
      <c r="H16" s="88">
        <v>11</v>
      </c>
      <c r="I16" s="87">
        <v>1</v>
      </c>
      <c r="J16" s="87">
        <v>4</v>
      </c>
      <c r="K16" s="87">
        <v>1</v>
      </c>
      <c r="L16" s="87">
        <v>1</v>
      </c>
      <c r="M16" s="88"/>
      <c r="N16" s="111">
        <v>6</v>
      </c>
      <c r="O16" s="88"/>
      <c r="P16" s="88"/>
      <c r="Q16" s="88"/>
      <c r="R16" s="88"/>
      <c r="S16" s="88"/>
      <c r="T16" s="88">
        <v>1</v>
      </c>
      <c r="U16" s="88">
        <v>1</v>
      </c>
      <c r="V16" s="88"/>
      <c r="W16" s="90">
        <v>7</v>
      </c>
      <c r="X16" s="87">
        <v>18</v>
      </c>
      <c r="Y16" s="89"/>
      <c r="Z16" s="89">
        <v>4</v>
      </c>
      <c r="AA16" s="89">
        <v>5</v>
      </c>
      <c r="AB16" s="89"/>
      <c r="AC16" s="87"/>
      <c r="AD16" s="89"/>
      <c r="AE16" s="89"/>
      <c r="AF16" s="88">
        <v>3</v>
      </c>
      <c r="AG16" s="87"/>
      <c r="AH16" s="88"/>
      <c r="AI16" s="88"/>
      <c r="AJ16" s="88"/>
      <c r="AK16" s="88"/>
      <c r="AL16" s="36" t="s">
        <v>40</v>
      </c>
      <c r="AM16" s="90">
        <v>19</v>
      </c>
      <c r="AN16" s="107">
        <v>16</v>
      </c>
      <c r="AO16" s="87">
        <v>3</v>
      </c>
      <c r="AP16" s="88"/>
      <c r="AQ16" s="87"/>
      <c r="AR16" s="86">
        <v>4</v>
      </c>
      <c r="AS16" s="88"/>
      <c r="AT16" s="87">
        <v>3</v>
      </c>
      <c r="AU16" s="88"/>
      <c r="AV16" s="88">
        <v>1</v>
      </c>
      <c r="AW16" s="87">
        <v>1</v>
      </c>
      <c r="AX16" s="88"/>
      <c r="AY16" s="90">
        <v>1</v>
      </c>
      <c r="AZ16" s="88">
        <v>3</v>
      </c>
      <c r="BA16" s="88">
        <v>1</v>
      </c>
      <c r="BB16" s="128"/>
      <c r="BC16" s="86">
        <v>15</v>
      </c>
      <c r="BD16" s="88"/>
      <c r="BE16" s="90">
        <v>8</v>
      </c>
      <c r="BF16" s="88"/>
      <c r="BG16" s="86">
        <v>6</v>
      </c>
      <c r="BH16" s="87">
        <v>2</v>
      </c>
      <c r="BI16" s="88"/>
      <c r="BJ16" s="88"/>
      <c r="BK16" s="88"/>
      <c r="BL16" s="88"/>
      <c r="BM16" s="86">
        <v>4</v>
      </c>
      <c r="BN16" s="86">
        <v>1</v>
      </c>
      <c r="BO16" s="87">
        <v>1</v>
      </c>
      <c r="BP16" s="86">
        <v>1</v>
      </c>
      <c r="BQ16" s="88">
        <v>5</v>
      </c>
      <c r="BR16" s="38">
        <v>3</v>
      </c>
      <c r="BS16" s="39">
        <v>3</v>
      </c>
      <c r="BT16" s="124">
        <v>13</v>
      </c>
      <c r="BU16" s="37">
        <v>2</v>
      </c>
      <c r="BV16" s="40">
        <v>1</v>
      </c>
      <c r="BW16" s="39"/>
      <c r="BX16" s="42"/>
      <c r="BY16" s="107">
        <v>4</v>
      </c>
      <c r="BZ16" s="87"/>
      <c r="CA16" s="87"/>
      <c r="CB16" s="88"/>
      <c r="CC16" s="87"/>
      <c r="CD16" s="163"/>
      <c r="CE16" s="90">
        <v>2</v>
      </c>
      <c r="CF16" s="128"/>
      <c r="CG16" s="37"/>
      <c r="CH16" s="37"/>
      <c r="CI16" s="42">
        <v>1</v>
      </c>
      <c r="CJ16" s="173">
        <v>6</v>
      </c>
      <c r="CK16" s="38"/>
      <c r="CL16" s="42"/>
      <c r="CM16" s="38"/>
      <c r="CN16" s="38">
        <v>1</v>
      </c>
      <c r="CO16" s="39"/>
      <c r="CP16" s="154">
        <v>3</v>
      </c>
      <c r="CQ16" s="40"/>
      <c r="CR16" s="38"/>
      <c r="CS16" s="40">
        <v>1</v>
      </c>
      <c r="CT16" s="38"/>
      <c r="CU16" s="42"/>
      <c r="CV16" s="38">
        <v>2</v>
      </c>
      <c r="CW16" s="86"/>
      <c r="CX16" s="88">
        <v>1</v>
      </c>
      <c r="CY16" s="38">
        <v>1</v>
      </c>
      <c r="CZ16" s="41"/>
      <c r="DA16" s="38">
        <v>2</v>
      </c>
      <c r="DB16" s="37"/>
      <c r="DC16" s="41"/>
      <c r="DD16" s="38"/>
      <c r="DE16" s="39"/>
      <c r="DF16" s="40"/>
      <c r="DG16" s="86"/>
      <c r="DH16" s="88">
        <v>1</v>
      </c>
      <c r="DI16" s="38"/>
      <c r="DJ16" s="38"/>
      <c r="DK16" s="158"/>
      <c r="DW16" s="102"/>
      <c r="DZ16" s="87"/>
    </row>
    <row r="17" spans="1:130" ht="33" customHeight="1" thickTop="1" x14ac:dyDescent="0.5">
      <c r="A17" s="8" t="s">
        <v>34</v>
      </c>
      <c r="B17" s="2" t="s">
        <v>35</v>
      </c>
      <c r="C17" s="1">
        <v>1913</v>
      </c>
      <c r="D17" s="43" t="s">
        <v>7</v>
      </c>
      <c r="E17" s="35" t="s">
        <v>199</v>
      </c>
      <c r="F17" s="36"/>
      <c r="G17" s="107">
        <v>44</v>
      </c>
      <c r="H17" s="107">
        <v>17</v>
      </c>
      <c r="I17" s="87">
        <v>16</v>
      </c>
      <c r="J17" s="110">
        <v>29</v>
      </c>
      <c r="K17" s="110">
        <v>14</v>
      </c>
      <c r="L17" s="113">
        <v>19</v>
      </c>
      <c r="M17" s="88"/>
      <c r="N17" s="88"/>
      <c r="O17" s="88"/>
      <c r="P17" s="88">
        <v>1</v>
      </c>
      <c r="Q17" s="88"/>
      <c r="R17" s="88"/>
      <c r="S17" s="88"/>
      <c r="T17" s="88"/>
      <c r="U17" s="88"/>
      <c r="V17" s="88"/>
      <c r="W17" s="90">
        <v>31</v>
      </c>
      <c r="X17" s="110">
        <v>53</v>
      </c>
      <c r="Y17" s="89">
        <v>20</v>
      </c>
      <c r="Z17" s="125">
        <v>27</v>
      </c>
      <c r="AA17" s="125">
        <v>19</v>
      </c>
      <c r="AB17" s="89">
        <v>1</v>
      </c>
      <c r="AC17" s="87">
        <v>5</v>
      </c>
      <c r="AD17" s="125">
        <v>5</v>
      </c>
      <c r="AE17" s="89"/>
      <c r="AF17" s="88"/>
      <c r="AG17" s="87">
        <v>1</v>
      </c>
      <c r="AH17" s="88"/>
      <c r="AI17" s="88"/>
      <c r="AJ17" s="88"/>
      <c r="AK17" s="88"/>
      <c r="AL17" s="36" t="s">
        <v>42</v>
      </c>
      <c r="AM17" s="118">
        <v>33</v>
      </c>
      <c r="AN17" s="107">
        <v>13</v>
      </c>
      <c r="AO17" s="87">
        <v>10</v>
      </c>
      <c r="AP17" s="88"/>
      <c r="AQ17" s="87"/>
      <c r="AR17" s="143">
        <v>26</v>
      </c>
      <c r="AS17" s="111">
        <v>19</v>
      </c>
      <c r="AT17" s="87">
        <v>7</v>
      </c>
      <c r="AU17" s="111">
        <v>6</v>
      </c>
      <c r="AV17" s="88">
        <v>2</v>
      </c>
      <c r="AW17" s="87"/>
      <c r="AX17" s="88"/>
      <c r="AY17" s="90">
        <v>14</v>
      </c>
      <c r="AZ17" s="88">
        <v>7</v>
      </c>
      <c r="BA17" s="88">
        <v>1</v>
      </c>
      <c r="BB17" s="128"/>
      <c r="BC17" s="86">
        <v>12</v>
      </c>
      <c r="BD17" s="88"/>
      <c r="BE17" s="118">
        <v>17</v>
      </c>
      <c r="BF17" s="88"/>
      <c r="BG17" s="86">
        <v>3</v>
      </c>
      <c r="BH17" s="87">
        <v>4</v>
      </c>
      <c r="BI17" s="88"/>
      <c r="BJ17" s="88"/>
      <c r="BK17" s="88"/>
      <c r="BL17" s="88"/>
      <c r="BM17" s="86">
        <v>3</v>
      </c>
      <c r="BN17" s="173">
        <v>12</v>
      </c>
      <c r="BO17" s="113">
        <v>7</v>
      </c>
      <c r="BP17" s="86">
        <v>3</v>
      </c>
      <c r="BQ17" s="111">
        <v>8</v>
      </c>
      <c r="BR17" s="38">
        <v>2</v>
      </c>
      <c r="BS17" s="151">
        <v>6</v>
      </c>
      <c r="BT17" s="90">
        <v>4</v>
      </c>
      <c r="BU17" s="161">
        <v>6</v>
      </c>
      <c r="BV17" s="40"/>
      <c r="BW17" s="39"/>
      <c r="BX17" s="42"/>
      <c r="BY17" s="111">
        <v>5</v>
      </c>
      <c r="BZ17" s="87"/>
      <c r="CA17" s="113">
        <v>6</v>
      </c>
      <c r="CB17" s="88">
        <v>1</v>
      </c>
      <c r="CC17" s="87"/>
      <c r="CD17" s="163"/>
      <c r="CE17" s="124">
        <v>5</v>
      </c>
      <c r="CF17" s="128">
        <v>1</v>
      </c>
      <c r="CG17" s="161">
        <v>6</v>
      </c>
      <c r="CH17" s="180">
        <v>4</v>
      </c>
      <c r="CI17" s="42"/>
      <c r="CJ17" s="143">
        <v>3</v>
      </c>
      <c r="CK17" s="38"/>
      <c r="CL17" s="42"/>
      <c r="CM17" s="153">
        <v>3</v>
      </c>
      <c r="CN17" s="38"/>
      <c r="CO17" s="39"/>
      <c r="CP17" s="39"/>
      <c r="CQ17" s="40"/>
      <c r="CR17" s="38"/>
      <c r="CS17" s="40"/>
      <c r="CT17" s="153">
        <v>6</v>
      </c>
      <c r="CU17" s="42"/>
      <c r="CV17" s="38"/>
      <c r="CW17" s="86">
        <v>1</v>
      </c>
      <c r="CX17" s="88">
        <v>1</v>
      </c>
      <c r="CY17" s="38"/>
      <c r="CZ17" s="41"/>
      <c r="DA17" s="38">
        <v>2</v>
      </c>
      <c r="DB17" s="37"/>
      <c r="DC17" s="41"/>
      <c r="DD17" s="38"/>
      <c r="DE17" s="39">
        <v>1</v>
      </c>
      <c r="DF17" s="40"/>
      <c r="DG17" s="86"/>
      <c r="DH17" s="88"/>
      <c r="DI17" s="153">
        <v>2</v>
      </c>
      <c r="DJ17" s="38"/>
      <c r="DK17" s="158"/>
      <c r="DW17" s="82"/>
      <c r="DZ17" s="110">
        <v>6</v>
      </c>
    </row>
    <row r="18" spans="1:130" ht="40.200000000000003" customHeight="1" thickBot="1" x14ac:dyDescent="0.55000000000000004">
      <c r="A18" s="9" t="s">
        <v>36</v>
      </c>
      <c r="B18" s="10" t="s">
        <v>37</v>
      </c>
      <c r="C18" s="11">
        <v>1914</v>
      </c>
      <c r="D18" s="44" t="s">
        <v>15</v>
      </c>
      <c r="E18" s="67" t="s">
        <v>187</v>
      </c>
      <c r="F18" s="68"/>
      <c r="G18" s="93">
        <v>3</v>
      </c>
      <c r="H18" s="93">
        <v>4</v>
      </c>
      <c r="I18" s="92">
        <v>10</v>
      </c>
      <c r="J18" s="92"/>
      <c r="K18" s="92"/>
      <c r="L18" s="92">
        <v>1</v>
      </c>
      <c r="M18" s="93">
        <v>2</v>
      </c>
      <c r="N18" s="93"/>
      <c r="O18" s="93"/>
      <c r="P18" s="93"/>
      <c r="Q18" s="93"/>
      <c r="R18" s="93"/>
      <c r="S18" s="93"/>
      <c r="T18" s="93"/>
      <c r="U18" s="93"/>
      <c r="V18" s="93"/>
      <c r="W18" s="95">
        <v>8</v>
      </c>
      <c r="X18" s="92">
        <v>1</v>
      </c>
      <c r="Y18" s="94">
        <v>6</v>
      </c>
      <c r="Z18" s="94"/>
      <c r="AA18" s="94">
        <v>2</v>
      </c>
      <c r="AB18" s="94"/>
      <c r="AC18" s="92">
        <v>3</v>
      </c>
      <c r="AD18" s="94"/>
      <c r="AE18" s="94"/>
      <c r="AF18" s="93"/>
      <c r="AG18" s="92">
        <v>2</v>
      </c>
      <c r="AH18" s="93"/>
      <c r="AI18" s="93"/>
      <c r="AJ18" s="93"/>
      <c r="AK18" s="93"/>
      <c r="AL18" s="68" t="s">
        <v>43</v>
      </c>
      <c r="AM18" s="95">
        <v>2</v>
      </c>
      <c r="AN18" s="93">
        <v>3</v>
      </c>
      <c r="AO18" s="92">
        <v>2</v>
      </c>
      <c r="AP18" s="93"/>
      <c r="AQ18" s="92">
        <v>1</v>
      </c>
      <c r="AR18" s="91">
        <v>12</v>
      </c>
      <c r="AS18" s="93">
        <v>11</v>
      </c>
      <c r="AT18" s="92">
        <v>5</v>
      </c>
      <c r="AU18" s="93"/>
      <c r="AV18" s="93"/>
      <c r="AW18" s="92"/>
      <c r="AX18" s="93">
        <v>1</v>
      </c>
      <c r="AY18" s="95">
        <v>5</v>
      </c>
      <c r="AZ18" s="93">
        <v>2</v>
      </c>
      <c r="BA18" s="93">
        <v>1</v>
      </c>
      <c r="BB18" s="129"/>
      <c r="BC18" s="91">
        <v>3</v>
      </c>
      <c r="BD18" s="93"/>
      <c r="BE18" s="95">
        <v>4</v>
      </c>
      <c r="BF18" s="93"/>
      <c r="BG18" s="91">
        <v>1</v>
      </c>
      <c r="BH18" s="92">
        <v>3</v>
      </c>
      <c r="BI18" s="93">
        <v>1</v>
      </c>
      <c r="BJ18" s="93"/>
      <c r="BK18" s="93"/>
      <c r="BL18" s="93"/>
      <c r="BM18" s="91">
        <v>2</v>
      </c>
      <c r="BN18" s="91">
        <v>2</v>
      </c>
      <c r="BO18" s="92"/>
      <c r="BP18" s="91">
        <v>2</v>
      </c>
      <c r="BQ18" s="93">
        <v>5</v>
      </c>
      <c r="BR18" s="47"/>
      <c r="BS18" s="48">
        <v>1</v>
      </c>
      <c r="BT18" s="95">
        <v>1</v>
      </c>
      <c r="BU18" s="46">
        <v>1</v>
      </c>
      <c r="BV18" s="49">
        <v>1</v>
      </c>
      <c r="BW18" s="48"/>
      <c r="BX18" s="69"/>
      <c r="BY18" s="93"/>
      <c r="BZ18" s="92"/>
      <c r="CA18" s="92"/>
      <c r="CB18" s="93"/>
      <c r="CC18" s="92"/>
      <c r="CD18" s="164"/>
      <c r="CE18" s="123">
        <v>4</v>
      </c>
      <c r="CF18" s="129"/>
      <c r="CG18" s="46">
        <v>4</v>
      </c>
      <c r="CH18" s="46">
        <v>1</v>
      </c>
      <c r="CI18" s="69"/>
      <c r="CJ18" s="91">
        <v>1</v>
      </c>
      <c r="CK18" s="47"/>
      <c r="CL18" s="69"/>
      <c r="CM18" s="47">
        <v>1</v>
      </c>
      <c r="CN18" s="47"/>
      <c r="CO18" s="48"/>
      <c r="CP18" s="48"/>
      <c r="CQ18" s="49"/>
      <c r="CR18" s="47"/>
      <c r="CS18" s="49"/>
      <c r="CT18" s="47"/>
      <c r="CU18" s="69"/>
      <c r="CV18" s="47"/>
      <c r="CW18" s="91"/>
      <c r="CX18" s="93"/>
      <c r="CY18" s="47"/>
      <c r="CZ18" s="50"/>
      <c r="DA18" s="47"/>
      <c r="DB18" s="46"/>
      <c r="DC18" s="50"/>
      <c r="DD18" s="47"/>
      <c r="DE18" s="48"/>
      <c r="DF18" s="49"/>
      <c r="DG18" s="91"/>
      <c r="DH18" s="93">
        <v>1</v>
      </c>
      <c r="DI18" s="47"/>
      <c r="DJ18" s="47"/>
      <c r="DK18" s="158"/>
      <c r="DW18" s="87"/>
      <c r="DZ18" s="92"/>
    </row>
    <row r="19" spans="1:130" ht="46.8" customHeight="1" thickTop="1" thickBot="1" x14ac:dyDescent="0.35">
      <c r="A19" s="297" t="s">
        <v>189</v>
      </c>
      <c r="B19" s="297"/>
      <c r="C19" s="297"/>
      <c r="D19" s="298"/>
      <c r="E19" s="299" t="s">
        <v>52</v>
      </c>
      <c r="F19" s="70" t="s">
        <v>51</v>
      </c>
      <c r="G19" s="72">
        <f t="shared" ref="G19:K19" si="0">SUM(G4:G18)</f>
        <v>262</v>
      </c>
      <c r="H19" s="72">
        <f t="shared" si="0"/>
        <v>165</v>
      </c>
      <c r="I19" s="106">
        <f t="shared" si="0"/>
        <v>116</v>
      </c>
      <c r="J19" s="72">
        <f t="shared" si="0"/>
        <v>108</v>
      </c>
      <c r="K19" s="72">
        <f t="shared" si="0"/>
        <v>91</v>
      </c>
      <c r="L19" s="72">
        <f t="shared" ref="L19:CJ19" si="1">SUM(L4:L18)</f>
        <v>83</v>
      </c>
      <c r="M19" s="72">
        <f t="shared" si="1"/>
        <v>16</v>
      </c>
      <c r="N19" s="72">
        <f t="shared" ref="N19" si="2">SUM(N4:N18)</f>
        <v>11</v>
      </c>
      <c r="O19" s="72">
        <f t="shared" si="1"/>
        <v>9</v>
      </c>
      <c r="P19" s="72">
        <f t="shared" ref="P19:Q19" si="3">SUM(P4:P18)</f>
        <v>7</v>
      </c>
      <c r="Q19" s="72">
        <f t="shared" si="3"/>
        <v>3</v>
      </c>
      <c r="R19" s="72">
        <f t="shared" si="1"/>
        <v>2</v>
      </c>
      <c r="S19" s="72">
        <f t="shared" si="1"/>
        <v>1</v>
      </c>
      <c r="T19" s="72">
        <f t="shared" si="1"/>
        <v>2</v>
      </c>
      <c r="U19" s="72">
        <f t="shared" si="1"/>
        <v>2</v>
      </c>
      <c r="V19" s="72">
        <f t="shared" si="1"/>
        <v>2</v>
      </c>
      <c r="W19" s="71">
        <f t="shared" ref="W19" si="4">SUM(W4:W18)</f>
        <v>495</v>
      </c>
      <c r="X19" s="106">
        <f t="shared" ref="X19" si="5">SUM(X4:X18)</f>
        <v>335</v>
      </c>
      <c r="Y19" s="72">
        <f t="shared" si="1"/>
        <v>275</v>
      </c>
      <c r="Z19" s="72">
        <f t="shared" si="1"/>
        <v>104</v>
      </c>
      <c r="AA19" s="72">
        <f t="shared" si="1"/>
        <v>77</v>
      </c>
      <c r="AB19" s="72">
        <f t="shared" si="1"/>
        <v>52</v>
      </c>
      <c r="AC19" s="72">
        <f t="shared" ref="AC19" si="6">SUM(AC4:AC18)</f>
        <v>42</v>
      </c>
      <c r="AD19" s="72">
        <f t="shared" si="1"/>
        <v>24</v>
      </c>
      <c r="AE19" s="72">
        <f t="shared" si="1"/>
        <v>18</v>
      </c>
      <c r="AF19" s="72">
        <f t="shared" ref="AF19" si="7">SUM(AF4:AF18)</f>
        <v>16</v>
      </c>
      <c r="AG19" s="106">
        <f t="shared" si="1"/>
        <v>9</v>
      </c>
      <c r="AH19" s="72">
        <f t="shared" ref="AH19" si="8">SUM(AH4:AH18)</f>
        <v>9</v>
      </c>
      <c r="AI19" s="72">
        <f t="shared" si="1"/>
        <v>7</v>
      </c>
      <c r="AJ19" s="72">
        <f t="shared" si="1"/>
        <v>5</v>
      </c>
      <c r="AK19" s="72">
        <f t="shared" si="1"/>
        <v>5</v>
      </c>
      <c r="AL19" s="70" t="s">
        <v>51</v>
      </c>
      <c r="AM19" s="71">
        <f t="shared" ref="AM19:BF19" si="9">SUM(AM4:AM18)</f>
        <v>244</v>
      </c>
      <c r="AN19" s="72">
        <f t="shared" ref="AN19:AP19" si="10">SUM(AN4:AN18)</f>
        <v>165</v>
      </c>
      <c r="AO19" s="72">
        <f t="shared" si="10"/>
        <v>108</v>
      </c>
      <c r="AP19" s="72">
        <f t="shared" si="10"/>
        <v>12</v>
      </c>
      <c r="AQ19" s="72">
        <f t="shared" si="9"/>
        <v>1</v>
      </c>
      <c r="AR19" s="71">
        <f t="shared" si="9"/>
        <v>248</v>
      </c>
      <c r="AS19" s="72">
        <f t="shared" ref="AS19:AV19" si="11">SUM(AS4:AS18)</f>
        <v>79</v>
      </c>
      <c r="AT19" s="72">
        <f t="shared" si="11"/>
        <v>70</v>
      </c>
      <c r="AU19" s="72">
        <f t="shared" si="11"/>
        <v>24</v>
      </c>
      <c r="AV19" s="72">
        <f t="shared" si="11"/>
        <v>13</v>
      </c>
      <c r="AW19" s="106">
        <f t="shared" si="9"/>
        <v>10</v>
      </c>
      <c r="AX19" s="72">
        <f t="shared" si="9"/>
        <v>2</v>
      </c>
      <c r="AY19" s="71">
        <f t="shared" si="9"/>
        <v>153</v>
      </c>
      <c r="AZ19" s="72">
        <f t="shared" si="9"/>
        <v>55</v>
      </c>
      <c r="BA19" s="72">
        <f t="shared" si="9"/>
        <v>30</v>
      </c>
      <c r="BB19" s="75">
        <f t="shared" si="9"/>
        <v>2</v>
      </c>
      <c r="BC19" s="71">
        <f t="shared" si="9"/>
        <v>149</v>
      </c>
      <c r="BD19" s="72">
        <f t="shared" si="9"/>
        <v>6</v>
      </c>
      <c r="BE19" s="71">
        <f t="shared" si="9"/>
        <v>147</v>
      </c>
      <c r="BF19" s="72">
        <f t="shared" si="9"/>
        <v>4</v>
      </c>
      <c r="BG19" s="71">
        <f t="shared" si="1"/>
        <v>91</v>
      </c>
      <c r="BH19" s="72">
        <f t="shared" si="1"/>
        <v>42</v>
      </c>
      <c r="BI19" s="72">
        <f t="shared" ref="BI19" si="12">SUM(BI4:BI18)</f>
        <v>8</v>
      </c>
      <c r="BJ19" s="106">
        <f t="shared" si="1"/>
        <v>1</v>
      </c>
      <c r="BK19" s="72">
        <f t="shared" si="1"/>
        <v>3</v>
      </c>
      <c r="BL19" s="72">
        <f t="shared" si="1"/>
        <v>3</v>
      </c>
      <c r="BM19" s="279">
        <f t="shared" ref="BM19:BY19" si="13">SUM(BM4:BM18)</f>
        <v>75</v>
      </c>
      <c r="BN19" s="71">
        <f t="shared" si="1"/>
        <v>46</v>
      </c>
      <c r="BO19" s="72">
        <f t="shared" si="13"/>
        <v>29</v>
      </c>
      <c r="BP19" s="71">
        <f t="shared" ref="BP19:BQ19" si="14">SUM(BP4:BP18)</f>
        <v>21</v>
      </c>
      <c r="BQ19" s="72">
        <f t="shared" si="14"/>
        <v>51</v>
      </c>
      <c r="BR19" s="71">
        <f t="shared" si="13"/>
        <v>30</v>
      </c>
      <c r="BS19" s="72">
        <f t="shared" si="13"/>
        <v>41</v>
      </c>
      <c r="BT19" s="314">
        <f t="shared" si="13"/>
        <v>56</v>
      </c>
      <c r="BU19" s="71">
        <f t="shared" ref="BU19" si="15">SUM(BU4:BU18)</f>
        <v>30</v>
      </c>
      <c r="BV19" s="106">
        <f t="shared" si="13"/>
        <v>14</v>
      </c>
      <c r="BW19" s="72">
        <f t="shared" si="13"/>
        <v>6</v>
      </c>
      <c r="BX19" s="75">
        <f t="shared" si="13"/>
        <v>2</v>
      </c>
      <c r="BY19" s="72">
        <f t="shared" si="13"/>
        <v>26</v>
      </c>
      <c r="BZ19" s="72">
        <f t="shared" si="1"/>
        <v>2</v>
      </c>
      <c r="CA19" s="72">
        <f t="shared" ref="CA19:CB19" si="16">SUM(CA4:CA18)</f>
        <v>8</v>
      </c>
      <c r="CB19" s="72">
        <f t="shared" si="16"/>
        <v>4</v>
      </c>
      <c r="CC19" s="72">
        <f t="shared" si="1"/>
        <v>1</v>
      </c>
      <c r="CD19" s="75">
        <f t="shared" si="1"/>
        <v>1</v>
      </c>
      <c r="CE19" s="71">
        <f t="shared" si="1"/>
        <v>34</v>
      </c>
      <c r="CF19" s="75">
        <f t="shared" si="1"/>
        <v>5</v>
      </c>
      <c r="CG19" s="314">
        <f>SUM(CG4:CG18)</f>
        <v>32</v>
      </c>
      <c r="CH19" s="71">
        <f t="shared" ref="CH19" si="17">SUM(CH4:CH18)</f>
        <v>18</v>
      </c>
      <c r="CI19" s="75">
        <f t="shared" ref="CI19" si="18">SUM(CI4:CI18)</f>
        <v>8</v>
      </c>
      <c r="CJ19" s="279">
        <f t="shared" si="1"/>
        <v>18</v>
      </c>
      <c r="CK19" s="71">
        <f t="shared" ref="CK19:DA19" si="19">SUM(CK4:CK18)</f>
        <v>14</v>
      </c>
      <c r="CL19" s="75">
        <f t="shared" si="19"/>
        <v>3</v>
      </c>
      <c r="CM19" s="279">
        <f t="shared" ref="CM19" si="20">SUM(CM4:CM18)</f>
        <v>15</v>
      </c>
      <c r="CN19" s="71">
        <f t="shared" si="19"/>
        <v>7</v>
      </c>
      <c r="CO19" s="72">
        <f t="shared" si="19"/>
        <v>2</v>
      </c>
      <c r="CP19" s="72">
        <f t="shared" si="19"/>
        <v>3</v>
      </c>
      <c r="CQ19" s="72">
        <f t="shared" si="19"/>
        <v>2</v>
      </c>
      <c r="CR19" s="71">
        <f t="shared" si="19"/>
        <v>7</v>
      </c>
      <c r="CS19" s="72">
        <f t="shared" si="19"/>
        <v>6</v>
      </c>
      <c r="CT19" s="71">
        <f t="shared" si="19"/>
        <v>11</v>
      </c>
      <c r="CU19" s="75">
        <f t="shared" si="19"/>
        <v>1</v>
      </c>
      <c r="CV19" s="279">
        <f t="shared" si="19"/>
        <v>12</v>
      </c>
      <c r="CW19" s="71">
        <f t="shared" si="19"/>
        <v>9</v>
      </c>
      <c r="CX19" s="72">
        <f t="shared" si="19"/>
        <v>2</v>
      </c>
      <c r="CY19" s="71">
        <f t="shared" si="19"/>
        <v>10</v>
      </c>
      <c r="CZ19" s="72">
        <f t="shared" si="19"/>
        <v>1</v>
      </c>
      <c r="DA19" s="279">
        <f t="shared" si="19"/>
        <v>10</v>
      </c>
      <c r="DB19" s="71">
        <f t="shared" ref="DB19:DC19" si="21">SUM(DB4:DB18)</f>
        <v>5</v>
      </c>
      <c r="DC19" s="75">
        <f t="shared" si="21"/>
        <v>4</v>
      </c>
      <c r="DD19" s="71">
        <f t="shared" ref="DD19:DF19" si="22">SUM(DD4:DD18)</f>
        <v>4</v>
      </c>
      <c r="DE19" s="72">
        <f t="shared" si="22"/>
        <v>3</v>
      </c>
      <c r="DF19" s="72">
        <f t="shared" si="22"/>
        <v>1</v>
      </c>
      <c r="DG19" s="73">
        <f>SUM(DG4:DG18)</f>
        <v>3</v>
      </c>
      <c r="DH19" s="74">
        <f>SUM(DH4:DH18)</f>
        <v>4</v>
      </c>
      <c r="DI19" s="279">
        <f t="shared" ref="DI19" si="23">SUM(DI4:DI18)</f>
        <v>7</v>
      </c>
      <c r="DJ19" s="279">
        <f t="shared" ref="DJ19" si="24">SUM(DJ4:DJ18)</f>
        <v>4</v>
      </c>
      <c r="DK19" s="158"/>
      <c r="DW19" s="110">
        <v>6</v>
      </c>
      <c r="DZ19" s="72">
        <f t="shared" ref="DZ19" si="25">SUM(DZ4:DZ18)</f>
        <v>8</v>
      </c>
    </row>
    <row r="20" spans="1:130" ht="56.4" customHeight="1" thickTop="1" thickBot="1" x14ac:dyDescent="0.35">
      <c r="A20" s="301" t="s">
        <v>190</v>
      </c>
      <c r="B20" s="301"/>
      <c r="C20" s="301"/>
      <c r="D20" s="302"/>
      <c r="E20" s="300"/>
      <c r="F20" s="78" t="s">
        <v>53</v>
      </c>
      <c r="G20" s="288">
        <v>853</v>
      </c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288"/>
      <c r="T20" s="288"/>
      <c r="U20" s="288"/>
      <c r="V20" s="288"/>
      <c r="W20" s="287">
        <v>1466</v>
      </c>
      <c r="X20" s="288"/>
      <c r="Y20" s="288"/>
      <c r="Z20" s="288"/>
      <c r="AA20" s="288"/>
      <c r="AB20" s="288"/>
      <c r="AC20" s="288"/>
      <c r="AD20" s="288"/>
      <c r="AE20" s="288"/>
      <c r="AF20" s="288"/>
      <c r="AG20" s="288"/>
      <c r="AH20" s="288"/>
      <c r="AI20" s="288"/>
      <c r="AJ20" s="288"/>
      <c r="AK20" s="288"/>
      <c r="AL20" s="78" t="s">
        <v>53</v>
      </c>
      <c r="AM20" s="292">
        <v>530</v>
      </c>
      <c r="AN20" s="294"/>
      <c r="AO20" s="294"/>
      <c r="AP20" s="294"/>
      <c r="AQ20" s="294"/>
      <c r="AR20" s="292">
        <v>446</v>
      </c>
      <c r="AS20" s="294"/>
      <c r="AT20" s="294"/>
      <c r="AU20" s="294"/>
      <c r="AV20" s="294"/>
      <c r="AW20" s="294"/>
      <c r="AX20" s="294"/>
      <c r="AY20" s="287">
        <v>240</v>
      </c>
      <c r="AZ20" s="288"/>
      <c r="BA20" s="288"/>
      <c r="BB20" s="288"/>
      <c r="BC20" s="287">
        <v>155</v>
      </c>
      <c r="BD20" s="288"/>
      <c r="BE20" s="315">
        <v>151</v>
      </c>
      <c r="BF20" s="316"/>
      <c r="BG20" s="287">
        <v>148</v>
      </c>
      <c r="BH20" s="288"/>
      <c r="BI20" s="288"/>
      <c r="BJ20" s="288"/>
      <c r="BK20" s="288"/>
      <c r="BL20" s="288"/>
      <c r="BM20" s="280"/>
      <c r="BN20" s="292">
        <v>75</v>
      </c>
      <c r="BO20" s="294"/>
      <c r="BP20" s="292">
        <v>72</v>
      </c>
      <c r="BQ20" s="294"/>
      <c r="BR20" s="292">
        <v>71</v>
      </c>
      <c r="BS20" s="293"/>
      <c r="BT20" s="315"/>
      <c r="BU20" s="292">
        <v>52</v>
      </c>
      <c r="BV20" s="294"/>
      <c r="BW20" s="294"/>
      <c r="BX20" s="293"/>
      <c r="BY20" s="287">
        <v>42</v>
      </c>
      <c r="BZ20" s="288"/>
      <c r="CA20" s="288"/>
      <c r="CB20" s="288"/>
      <c r="CC20" s="288"/>
      <c r="CD20" s="289"/>
      <c r="CE20" s="287">
        <v>39</v>
      </c>
      <c r="CF20" s="288"/>
      <c r="CG20" s="315"/>
      <c r="CH20" s="292">
        <v>26</v>
      </c>
      <c r="CI20" s="293"/>
      <c r="CJ20" s="280"/>
      <c r="CK20" s="318">
        <v>17</v>
      </c>
      <c r="CL20" s="319"/>
      <c r="CM20" s="320"/>
      <c r="CN20" s="318">
        <v>14</v>
      </c>
      <c r="CO20" s="321"/>
      <c r="CP20" s="321"/>
      <c r="CQ20" s="319"/>
      <c r="CR20" s="318">
        <v>13</v>
      </c>
      <c r="CS20" s="319"/>
      <c r="CT20" s="318">
        <v>12</v>
      </c>
      <c r="CU20" s="319"/>
      <c r="CV20" s="320"/>
      <c r="CW20" s="292">
        <v>11</v>
      </c>
      <c r="CX20" s="294"/>
      <c r="CY20" s="318">
        <v>11</v>
      </c>
      <c r="CZ20" s="321"/>
      <c r="DA20" s="320"/>
      <c r="DB20" s="292">
        <v>9</v>
      </c>
      <c r="DC20" s="293"/>
      <c r="DD20" s="318">
        <v>8</v>
      </c>
      <c r="DE20" s="321"/>
      <c r="DF20" s="319"/>
      <c r="DG20" s="287">
        <v>7</v>
      </c>
      <c r="DH20" s="288"/>
      <c r="DI20" s="320"/>
      <c r="DJ20" s="320"/>
      <c r="DK20" s="158"/>
      <c r="DW20" s="92"/>
    </row>
    <row r="21" spans="1:130" ht="15.6" customHeight="1" thickTop="1" thickBot="1" x14ac:dyDescent="0.35">
      <c r="DK21" s="158"/>
      <c r="DW21" s="72">
        <f t="shared" ref="DW21" si="26">SUM(DW6:DW20)</f>
        <v>8</v>
      </c>
    </row>
    <row r="22" spans="1:130" ht="15.6" customHeight="1" thickTop="1" x14ac:dyDescent="0.3"/>
  </sheetData>
  <mergeCells count="78">
    <mergeCell ref="BP2:BQ2"/>
    <mergeCell ref="BP20:BQ20"/>
    <mergeCell ref="BU2:BX2"/>
    <mergeCell ref="BU20:BX20"/>
    <mergeCell ref="BY20:CD20"/>
    <mergeCell ref="BY2:CD2"/>
    <mergeCell ref="AM20:AQ20"/>
    <mergeCell ref="AR2:AX2"/>
    <mergeCell ref="AR20:AX20"/>
    <mergeCell ref="AY2:BB2"/>
    <mergeCell ref="AY20:BB20"/>
    <mergeCell ref="DI2:DI3"/>
    <mergeCell ref="CM19:CM20"/>
    <mergeCell ref="DI19:DI20"/>
    <mergeCell ref="BR2:BS2"/>
    <mergeCell ref="BT2:BT3"/>
    <mergeCell ref="CV2:CV3"/>
    <mergeCell ref="CV19:CV20"/>
    <mergeCell ref="DA2:DA3"/>
    <mergeCell ref="DA19:DA20"/>
    <mergeCell ref="CN2:CQ2"/>
    <mergeCell ref="CN20:CQ20"/>
    <mergeCell ref="CR2:CS2"/>
    <mergeCell ref="CR20:CS20"/>
    <mergeCell ref="CT2:CU2"/>
    <mergeCell ref="CT20:CU20"/>
    <mergeCell ref="CH20:CI20"/>
    <mergeCell ref="DJ2:DJ3"/>
    <mergeCell ref="DJ19:DJ20"/>
    <mergeCell ref="AM1:DJ1"/>
    <mergeCell ref="DD2:DF2"/>
    <mergeCell ref="DD20:DF20"/>
    <mergeCell ref="DG2:DH2"/>
    <mergeCell ref="DG20:DH20"/>
    <mergeCell ref="CY2:CZ2"/>
    <mergeCell ref="CY20:CZ20"/>
    <mergeCell ref="BN20:BO20"/>
    <mergeCell ref="CH2:CI2"/>
    <mergeCell ref="CK2:CL2"/>
    <mergeCell ref="DB2:DC2"/>
    <mergeCell ref="CW2:CX2"/>
    <mergeCell ref="CG2:CG3"/>
    <mergeCell ref="CJ2:CJ3"/>
    <mergeCell ref="CK20:CL20"/>
    <mergeCell ref="DB20:DC20"/>
    <mergeCell ref="CJ19:CJ20"/>
    <mergeCell ref="CG19:CG20"/>
    <mergeCell ref="CW20:CX20"/>
    <mergeCell ref="A1:D1"/>
    <mergeCell ref="E1:E3"/>
    <mergeCell ref="F1:F3"/>
    <mergeCell ref="G1:AK1"/>
    <mergeCell ref="BG2:BL2"/>
    <mergeCell ref="AL1:AL3"/>
    <mergeCell ref="AM2:AQ2"/>
    <mergeCell ref="A2:A3"/>
    <mergeCell ref="B2:B3"/>
    <mergeCell ref="C2:C3"/>
    <mergeCell ref="D2:D3"/>
    <mergeCell ref="G2:V2"/>
    <mergeCell ref="BC2:BD2"/>
    <mergeCell ref="BE2:BF2"/>
    <mergeCell ref="E19:E20"/>
    <mergeCell ref="CE2:CF2"/>
    <mergeCell ref="BG20:BL20"/>
    <mergeCell ref="A19:D19"/>
    <mergeCell ref="A20:D20"/>
    <mergeCell ref="W2:AK2"/>
    <mergeCell ref="BN2:BO2"/>
    <mergeCell ref="BM2:BM3"/>
    <mergeCell ref="G20:V20"/>
    <mergeCell ref="W20:AK20"/>
    <mergeCell ref="CE20:CF20"/>
    <mergeCell ref="BM19:BM20"/>
    <mergeCell ref="BR20:BS20"/>
    <mergeCell ref="BT19:BT20"/>
    <mergeCell ref="BC20:BD20"/>
    <mergeCell ref="BE20:BF20"/>
  </mergeCells>
  <conditionalFormatting sqref="A4:A11 A13 A15:A18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{2165E773-EDF3-4F35-820F-77F79FA354FD}</x14:id>
        </ext>
      </extLst>
    </cfRule>
  </conditionalFormatting>
  <hyperlinks>
    <hyperlink ref="D18" r:id="rId1" display="https://archive.org/details/throughspainreco00dickrich/page/n13/mode/2up" xr:uid="{45E7E878-47A7-42BB-9733-12A56BA6BF6D}"/>
    <hyperlink ref="D17" r:id="rId2" display="https://www.gutenberg.org/ebooks/7430" xr:uid="{BE238CEA-8E44-453E-858E-B5785FC2FED0}"/>
    <hyperlink ref="D16" r:id="rId3" display="https://www.gutenberg.org/ebooks/40201" xr:uid="{976BDDCE-95E1-4F2A-82EB-7C0C23DBC1DC}"/>
    <hyperlink ref="D10" r:id="rId4" display="https://archive.org/details/sunshadowinspain00elliuoft" xr:uid="{F2BE788D-933A-4A26-B761-193AC3C46F67}"/>
    <hyperlink ref="D8" r:id="rId5" display="https://www.gutenberg.org/ebooks/27252" xr:uid="{FC9D3942-9C74-463C-A20A-7D5CEA8F7003}"/>
    <hyperlink ref="D7" r:id="rId6" display="https://archive.org/details/atrampinspain00unkngoog/page/n8/mode/2up" xr:uid="{4B9C1865-8F37-4DFB-8C10-9FB0118503B9}"/>
    <hyperlink ref="D6" r:id="rId7" display="https://www.gutenberg.org/ebooks/59944" xr:uid="{716AD6B3-DA16-4940-A735-3779825F1B20}"/>
    <hyperlink ref="D4" r:id="rId8" display="https://www.gutenberg.org/ebooks/38767" xr:uid="{288DA1C5-C38D-488D-A6C9-35ECE70F0165}"/>
    <hyperlink ref="D9" r:id="rId9" display="https://www.gutenberg.org/ebooks/37944" xr:uid="{B30D667F-AE9C-485B-85CD-F3ECF5461B5B}"/>
    <hyperlink ref="D13" r:id="rId10" display="https://www.gutenberg.org/ebooks/41593" xr:uid="{B70B5DA5-097F-40C2-80A9-55B7594FF5C7}"/>
    <hyperlink ref="D11" r:id="rId11" display="https://www.gutenberg.org/ebooks/40356" xr:uid="{DD7CFE25-82D5-4C02-8A91-107A81FB2FDB}"/>
    <hyperlink ref="D5" r:id="rId12" display="https://archive.org/details/landofdons00will/page/n19/mode/2up" xr:uid="{B33D66A8-10D2-49D3-86D1-5FABB13042EC}"/>
    <hyperlink ref="D15" r:id="rId13" display="https://www.gutenberg.org/ebooks/40357" xr:uid="{4EAE8CD4-91EF-465C-9B35-257A69105B81}"/>
    <hyperlink ref="D12" r:id="rId14" display="https://archive.org/details/spainoftodaynarr00shaw/page/n11/mode/2up" xr:uid="{F3712A15-5899-46F5-B6BE-A7D9EC0B4007}"/>
    <hyperlink ref="D14" r:id="rId15" display="https://www.gutenberg.org/ebooks/author/39917" xr:uid="{6F84B248-10C9-4710-80F8-A3E550E5AD0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65E773-EDF3-4F35-820F-77F79FA35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78CF-D488-4A3A-B664-FD514517477C}">
  <dimension ref="A1:DP110"/>
  <sheetViews>
    <sheetView zoomScale="50" zoomScaleNormal="50" workbookViewId="0">
      <selection activeCell="A14" sqref="A14"/>
    </sheetView>
  </sheetViews>
  <sheetFormatPr baseColWidth="10" defaultColWidth="8.88671875" defaultRowHeight="15.6" x14ac:dyDescent="0.3"/>
  <cols>
    <col min="1" max="1" width="76" style="4" customWidth="1"/>
    <col min="2" max="2" width="58.88671875" style="4" customWidth="1"/>
    <col min="3" max="3" width="39.5546875" style="4" customWidth="1"/>
    <col min="4" max="4" width="23.33203125" style="4" customWidth="1"/>
    <col min="5" max="5" width="30.21875" style="4" customWidth="1"/>
    <col min="6" max="6" width="44" style="4" customWidth="1"/>
    <col min="7" max="7" width="16.88671875" style="4" customWidth="1"/>
    <col min="8" max="8" width="20.44140625" style="4" customWidth="1"/>
    <col min="9" max="9" width="12.88671875" style="4" customWidth="1"/>
    <col min="10" max="10" width="15.33203125" style="4" customWidth="1"/>
    <col min="11" max="16" width="15.109375" style="4" customWidth="1"/>
    <col min="17" max="17" width="16.88671875" style="4" customWidth="1"/>
    <col min="18" max="18" width="44.88671875" style="4" customWidth="1"/>
    <col min="19" max="23" width="15.109375" style="4" customWidth="1"/>
    <col min="24" max="30" width="13.33203125" style="4" customWidth="1"/>
    <col min="31" max="31" width="19.77734375" style="4" customWidth="1"/>
    <col min="32" max="41" width="13.33203125" style="4" customWidth="1"/>
    <col min="42" max="42" width="16.88671875" style="4" customWidth="1"/>
    <col min="43" max="43" width="18" style="4" customWidth="1"/>
    <col min="44" max="44" width="15.5546875" style="4" customWidth="1"/>
    <col min="45" max="45" width="13.5546875" style="4" customWidth="1"/>
    <col min="46" max="46" width="13.77734375" style="4" customWidth="1"/>
    <col min="47" max="47" width="14.88671875" style="4" customWidth="1"/>
    <col min="48" max="52" width="13.33203125" style="4" customWidth="1"/>
    <col min="53" max="54" width="13.109375" style="4" customWidth="1"/>
    <col min="55" max="55" width="16.21875" style="4" customWidth="1"/>
    <col min="56" max="56" width="13.109375" style="4" customWidth="1"/>
    <col min="57" max="57" width="40.44140625" style="4" customWidth="1"/>
    <col min="58" max="58" width="15.5546875" style="4" customWidth="1"/>
    <col min="59" max="59" width="14" style="4" customWidth="1"/>
    <col min="60" max="60" width="15.77734375" style="4" customWidth="1"/>
    <col min="61" max="61" width="16.21875" style="4" customWidth="1"/>
    <col min="62" max="62" width="19.109375" style="4" customWidth="1"/>
    <col min="63" max="63" width="14" style="4" customWidth="1"/>
    <col min="64" max="64" width="8.88671875" style="4"/>
    <col min="65" max="65" width="16.44140625" style="4" customWidth="1"/>
    <col min="66" max="66" width="14.21875" style="4" customWidth="1"/>
    <col min="67" max="16384" width="8.88671875" style="4"/>
  </cols>
  <sheetData>
    <row r="1" spans="1:120" ht="30.6" customHeight="1" thickBot="1" x14ac:dyDescent="0.35">
      <c r="A1" s="303" t="s">
        <v>0</v>
      </c>
      <c r="B1" s="303"/>
      <c r="C1" s="303"/>
      <c r="D1" s="304"/>
      <c r="E1" s="305" t="s">
        <v>362</v>
      </c>
      <c r="F1" s="282" t="s">
        <v>38</v>
      </c>
      <c r="G1" s="295" t="s">
        <v>364</v>
      </c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82" t="s">
        <v>38</v>
      </c>
      <c r="S1" s="295" t="s">
        <v>370</v>
      </c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82" t="s">
        <v>38</v>
      </c>
      <c r="BF1" s="323" t="s">
        <v>383</v>
      </c>
      <c r="BG1" s="324"/>
      <c r="BH1" s="324"/>
      <c r="BI1" s="324"/>
      <c r="BJ1" s="324"/>
      <c r="BK1" s="324"/>
      <c r="BL1" s="324"/>
      <c r="BM1" s="324"/>
      <c r="BN1" s="324"/>
      <c r="BO1" s="26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</row>
    <row r="2" spans="1:120" ht="46.8" customHeight="1" thickTop="1" x14ac:dyDescent="0.3">
      <c r="A2" s="308" t="s">
        <v>1</v>
      </c>
      <c r="B2" s="310" t="s">
        <v>2</v>
      </c>
      <c r="C2" s="310" t="s">
        <v>3</v>
      </c>
      <c r="D2" s="312" t="s">
        <v>4</v>
      </c>
      <c r="E2" s="306"/>
      <c r="F2" s="283"/>
      <c r="G2" s="277" t="s">
        <v>365</v>
      </c>
      <c r="H2" s="285" t="s">
        <v>303</v>
      </c>
      <c r="I2" s="286"/>
      <c r="J2" s="286"/>
      <c r="K2" s="291"/>
      <c r="L2" s="285" t="s">
        <v>366</v>
      </c>
      <c r="M2" s="286"/>
      <c r="N2" s="291"/>
      <c r="O2" s="285" t="s">
        <v>367</v>
      </c>
      <c r="P2" s="291"/>
      <c r="Q2" s="277" t="s">
        <v>368</v>
      </c>
      <c r="R2" s="283"/>
      <c r="S2" s="285" t="s">
        <v>292</v>
      </c>
      <c r="T2" s="291"/>
      <c r="U2" s="285" t="s">
        <v>300</v>
      </c>
      <c r="V2" s="286"/>
      <c r="W2" s="286"/>
      <c r="X2" s="285" t="s">
        <v>371</v>
      </c>
      <c r="Y2" s="286"/>
      <c r="Z2" s="286"/>
      <c r="AA2" s="291"/>
      <c r="AB2" s="285" t="s">
        <v>305</v>
      </c>
      <c r="AC2" s="286"/>
      <c r="AD2" s="285" t="s">
        <v>297</v>
      </c>
      <c r="AE2" s="286"/>
      <c r="AF2" s="291"/>
      <c r="AG2" s="285" t="s">
        <v>374</v>
      </c>
      <c r="AH2" s="286"/>
      <c r="AI2" s="285" t="s">
        <v>376</v>
      </c>
      <c r="AJ2" s="286"/>
      <c r="AK2" s="291"/>
      <c r="AL2" s="285" t="s">
        <v>375</v>
      </c>
      <c r="AM2" s="286"/>
      <c r="AN2" s="286"/>
      <c r="AO2" s="291"/>
      <c r="AP2" s="277" t="s">
        <v>372</v>
      </c>
      <c r="AQ2" s="277" t="s">
        <v>373</v>
      </c>
      <c r="AR2" s="285" t="s">
        <v>379</v>
      </c>
      <c r="AS2" s="286"/>
      <c r="AT2" s="286"/>
      <c r="AU2" s="291"/>
      <c r="AV2" s="285" t="s">
        <v>377</v>
      </c>
      <c r="AW2" s="286"/>
      <c r="AX2" s="291"/>
      <c r="AY2" s="285" t="s">
        <v>378</v>
      </c>
      <c r="AZ2" s="291"/>
      <c r="BA2" s="285" t="s">
        <v>380</v>
      </c>
      <c r="BB2" s="291"/>
      <c r="BC2" s="322" t="s">
        <v>381</v>
      </c>
      <c r="BD2" s="277" t="s">
        <v>382</v>
      </c>
      <c r="BE2" s="283"/>
      <c r="BF2" s="285" t="s">
        <v>385</v>
      </c>
      <c r="BG2" s="286"/>
      <c r="BH2" s="286"/>
      <c r="BI2" s="291"/>
      <c r="BJ2" s="285" t="s">
        <v>295</v>
      </c>
      <c r="BK2" s="291"/>
      <c r="BL2" s="285" t="s">
        <v>386</v>
      </c>
      <c r="BM2" s="286"/>
      <c r="BN2" s="286"/>
      <c r="BO2" s="261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</row>
    <row r="3" spans="1:120" ht="27.6" customHeight="1" thickBot="1" x14ac:dyDescent="0.35">
      <c r="A3" s="309"/>
      <c r="B3" s="311"/>
      <c r="C3" s="311"/>
      <c r="D3" s="313"/>
      <c r="E3" s="307"/>
      <c r="F3" s="284"/>
      <c r="G3" s="278"/>
      <c r="H3" s="21" t="s">
        <v>304</v>
      </c>
      <c r="I3" s="20" t="s">
        <v>309</v>
      </c>
      <c r="J3" s="20" t="s">
        <v>355</v>
      </c>
      <c r="K3" s="20" t="s">
        <v>354</v>
      </c>
      <c r="L3" s="116" t="s">
        <v>313</v>
      </c>
      <c r="M3" s="20" t="s">
        <v>338</v>
      </c>
      <c r="N3" s="20" t="s">
        <v>329</v>
      </c>
      <c r="O3" s="21" t="s">
        <v>322</v>
      </c>
      <c r="P3" s="18" t="s">
        <v>325</v>
      </c>
      <c r="Q3" s="278"/>
      <c r="R3" s="284"/>
      <c r="S3" s="21" t="s">
        <v>293</v>
      </c>
      <c r="T3" s="24" t="s">
        <v>294</v>
      </c>
      <c r="U3" s="184" t="s">
        <v>301</v>
      </c>
      <c r="V3" s="59" t="s">
        <v>307</v>
      </c>
      <c r="W3" s="18" t="s">
        <v>302</v>
      </c>
      <c r="X3" s="116" t="s">
        <v>321</v>
      </c>
      <c r="Y3" s="20" t="s">
        <v>312</v>
      </c>
      <c r="Z3" s="59" t="s">
        <v>320</v>
      </c>
      <c r="AA3" s="22" t="s">
        <v>315</v>
      </c>
      <c r="AB3" s="21" t="s">
        <v>306</v>
      </c>
      <c r="AC3" s="18" t="s">
        <v>308</v>
      </c>
      <c r="AD3" s="21" t="s">
        <v>349</v>
      </c>
      <c r="AE3" s="17" t="s">
        <v>298</v>
      </c>
      <c r="AF3" s="24" t="s">
        <v>333</v>
      </c>
      <c r="AG3" s="21" t="s">
        <v>299</v>
      </c>
      <c r="AH3" s="22" t="s">
        <v>340</v>
      </c>
      <c r="AI3" s="116" t="s">
        <v>314</v>
      </c>
      <c r="AJ3" s="20" t="s">
        <v>330</v>
      </c>
      <c r="AK3" s="22" t="s">
        <v>336</v>
      </c>
      <c r="AL3" s="21" t="s">
        <v>324</v>
      </c>
      <c r="AM3" s="17" t="s">
        <v>352</v>
      </c>
      <c r="AN3" s="18" t="s">
        <v>353</v>
      </c>
      <c r="AO3" s="22" t="s">
        <v>357</v>
      </c>
      <c r="AP3" s="290"/>
      <c r="AQ3" s="278"/>
      <c r="AR3" s="116" t="s">
        <v>316</v>
      </c>
      <c r="AS3" s="59" t="s">
        <v>317</v>
      </c>
      <c r="AT3" s="18" t="s">
        <v>318</v>
      </c>
      <c r="AU3" s="22" t="s">
        <v>319</v>
      </c>
      <c r="AV3" s="18" t="s">
        <v>328</v>
      </c>
      <c r="AW3" s="59" t="s">
        <v>350</v>
      </c>
      <c r="AX3" s="24" t="s">
        <v>359</v>
      </c>
      <c r="AY3" s="21" t="s">
        <v>326</v>
      </c>
      <c r="AZ3" s="24" t="s">
        <v>339</v>
      </c>
      <c r="BA3" s="16" t="s">
        <v>344</v>
      </c>
      <c r="BB3" s="24" t="s">
        <v>345</v>
      </c>
      <c r="BC3" s="307"/>
      <c r="BD3" s="278"/>
      <c r="BE3" s="284"/>
      <c r="BF3" s="20" t="s">
        <v>311</v>
      </c>
      <c r="BG3" s="20" t="s">
        <v>310</v>
      </c>
      <c r="BH3" s="20" t="s">
        <v>334</v>
      </c>
      <c r="BI3" s="20" t="s">
        <v>341</v>
      </c>
      <c r="BJ3" s="19" t="s">
        <v>296</v>
      </c>
      <c r="BK3" s="159" t="s">
        <v>347</v>
      </c>
      <c r="BL3" s="19" t="s">
        <v>331</v>
      </c>
      <c r="BM3" s="59" t="s">
        <v>335</v>
      </c>
      <c r="BN3" s="20" t="s">
        <v>332</v>
      </c>
      <c r="BO3" s="261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ht="33.6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26" t="s">
        <v>388</v>
      </c>
      <c r="F4" s="27"/>
      <c r="G4" s="83"/>
      <c r="H4" s="85">
        <v>2</v>
      </c>
      <c r="I4" s="83">
        <v>1</v>
      </c>
      <c r="J4" s="83"/>
      <c r="K4" s="83"/>
      <c r="L4" s="85"/>
      <c r="M4" s="83"/>
      <c r="N4" s="83"/>
      <c r="O4" s="85"/>
      <c r="P4" s="83"/>
      <c r="Q4" s="85"/>
      <c r="R4" s="27"/>
      <c r="S4" s="179">
        <v>10</v>
      </c>
      <c r="T4" s="262">
        <v>6</v>
      </c>
      <c r="U4" s="265">
        <v>2</v>
      </c>
      <c r="V4" s="82">
        <v>1</v>
      </c>
      <c r="W4" s="146">
        <v>2</v>
      </c>
      <c r="X4" s="85"/>
      <c r="Y4" s="83"/>
      <c r="Z4" s="82"/>
      <c r="AA4" s="127"/>
      <c r="AB4" s="85">
        <v>2</v>
      </c>
      <c r="AC4" s="83">
        <v>1</v>
      </c>
      <c r="AD4" s="85"/>
      <c r="AE4" s="80">
        <v>3</v>
      </c>
      <c r="AF4" s="127"/>
      <c r="AG4" s="179">
        <v>3</v>
      </c>
      <c r="AH4" s="195"/>
      <c r="AI4" s="85"/>
      <c r="AJ4" s="83"/>
      <c r="AK4" s="127"/>
      <c r="AL4" s="85"/>
      <c r="AM4" s="82"/>
      <c r="AN4" s="83"/>
      <c r="AO4" s="127"/>
      <c r="AP4" s="252"/>
      <c r="AQ4" s="252"/>
      <c r="AR4" s="85"/>
      <c r="AS4" s="82"/>
      <c r="AT4" s="83"/>
      <c r="AU4" s="127"/>
      <c r="AV4" s="83"/>
      <c r="AW4" s="82"/>
      <c r="AX4" s="127"/>
      <c r="AY4" s="85"/>
      <c r="AZ4" s="195"/>
      <c r="BA4" s="81"/>
      <c r="BB4" s="127"/>
      <c r="BC4" s="127"/>
      <c r="BD4" s="115">
        <v>1</v>
      </c>
      <c r="BE4" s="27"/>
      <c r="BF4" s="83">
        <v>1</v>
      </c>
      <c r="BG4" s="83"/>
      <c r="BH4" s="83"/>
      <c r="BI4" s="83"/>
      <c r="BJ4" s="171">
        <v>4</v>
      </c>
      <c r="BK4" s="259"/>
      <c r="BL4" s="81"/>
      <c r="BM4" s="83"/>
      <c r="BN4" s="83"/>
      <c r="BO4" s="261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ht="34.799999999999997" customHeight="1" x14ac:dyDescent="0.5">
      <c r="A5" s="8" t="s">
        <v>8</v>
      </c>
      <c r="B5" s="2" t="s">
        <v>9</v>
      </c>
      <c r="C5" s="1">
        <v>1902</v>
      </c>
      <c r="D5" s="34" t="s">
        <v>10</v>
      </c>
      <c r="E5" s="35" t="s">
        <v>323</v>
      </c>
      <c r="F5" s="36"/>
      <c r="G5" s="88">
        <v>4</v>
      </c>
      <c r="H5" s="90"/>
      <c r="I5" s="88"/>
      <c r="J5" s="88"/>
      <c r="K5" s="88"/>
      <c r="L5" s="124">
        <v>5</v>
      </c>
      <c r="M5" s="88"/>
      <c r="N5" s="88"/>
      <c r="O5" s="90">
        <v>1</v>
      </c>
      <c r="P5" s="88"/>
      <c r="Q5" s="90">
        <v>1</v>
      </c>
      <c r="R5" s="36" t="s">
        <v>39</v>
      </c>
      <c r="S5" s="90">
        <v>1</v>
      </c>
      <c r="T5" s="128"/>
      <c r="U5" s="190"/>
      <c r="V5" s="137"/>
      <c r="W5" s="88"/>
      <c r="X5" s="90">
        <v>1</v>
      </c>
      <c r="Y5" s="111">
        <v>5</v>
      </c>
      <c r="Z5" s="87">
        <v>1</v>
      </c>
      <c r="AA5" s="194">
        <v>2</v>
      </c>
      <c r="AB5" s="90"/>
      <c r="AC5" s="88">
        <v>3</v>
      </c>
      <c r="AD5" s="90"/>
      <c r="AE5" s="87"/>
      <c r="AF5" s="128"/>
      <c r="AG5" s="90"/>
      <c r="AH5" s="128"/>
      <c r="AI5" s="124">
        <v>4</v>
      </c>
      <c r="AJ5" s="88"/>
      <c r="AK5" s="128"/>
      <c r="AL5" s="90"/>
      <c r="AM5" s="137"/>
      <c r="AN5" s="88"/>
      <c r="AO5" s="128"/>
      <c r="AP5" s="253"/>
      <c r="AQ5" s="253"/>
      <c r="AR5" s="124">
        <v>2</v>
      </c>
      <c r="AS5" s="113">
        <v>2</v>
      </c>
      <c r="AT5" s="111">
        <v>2</v>
      </c>
      <c r="AU5" s="271">
        <v>1</v>
      </c>
      <c r="AV5" s="88"/>
      <c r="AW5" s="87"/>
      <c r="AX5" s="128"/>
      <c r="AY5" s="90"/>
      <c r="AZ5" s="128"/>
      <c r="BA5" s="86"/>
      <c r="BB5" s="194"/>
      <c r="BC5" s="271">
        <v>1</v>
      </c>
      <c r="BD5" s="88"/>
      <c r="BE5" s="36"/>
      <c r="BF5" s="88"/>
      <c r="BG5" s="88"/>
      <c r="BH5" s="88"/>
      <c r="BI5" s="88"/>
      <c r="BJ5" s="86"/>
      <c r="BK5" s="163"/>
      <c r="BL5" s="86"/>
      <c r="BM5" s="88"/>
      <c r="BN5" s="88"/>
      <c r="BO5" s="261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ht="31.8" customHeight="1" x14ac:dyDescent="0.5">
      <c r="A6" s="8" t="s">
        <v>11</v>
      </c>
      <c r="B6" s="2" t="s">
        <v>12</v>
      </c>
      <c r="C6" s="1">
        <v>1903</v>
      </c>
      <c r="D6" s="43" t="s">
        <v>7</v>
      </c>
      <c r="E6" s="35" t="s">
        <v>389</v>
      </c>
      <c r="F6" s="36"/>
      <c r="G6" s="88">
        <v>1</v>
      </c>
      <c r="H6" s="90">
        <v>1</v>
      </c>
      <c r="I6" s="88"/>
      <c r="J6" s="88"/>
      <c r="K6" s="88"/>
      <c r="L6" s="90"/>
      <c r="M6" s="88"/>
      <c r="N6" s="88"/>
      <c r="O6" s="90">
        <v>1</v>
      </c>
      <c r="P6" s="88">
        <v>2</v>
      </c>
      <c r="Q6" s="90"/>
      <c r="R6" s="36" t="s">
        <v>43</v>
      </c>
      <c r="S6" s="90"/>
      <c r="T6" s="128"/>
      <c r="U6" s="186">
        <v>1</v>
      </c>
      <c r="V6" s="87"/>
      <c r="W6" s="88"/>
      <c r="X6" s="90"/>
      <c r="Y6" s="88"/>
      <c r="Z6" s="87"/>
      <c r="AA6" s="128"/>
      <c r="AB6" s="90"/>
      <c r="AC6" s="88"/>
      <c r="AD6" s="90"/>
      <c r="AE6" s="87"/>
      <c r="AF6" s="128"/>
      <c r="AG6" s="90">
        <v>1</v>
      </c>
      <c r="AH6" s="128"/>
      <c r="AI6" s="90"/>
      <c r="AJ6" s="88"/>
      <c r="AK6" s="128"/>
      <c r="AL6" s="124">
        <v>3</v>
      </c>
      <c r="AM6" s="87"/>
      <c r="AN6" s="88"/>
      <c r="AO6" s="128"/>
      <c r="AP6" s="253"/>
      <c r="AQ6" s="253"/>
      <c r="AR6" s="90"/>
      <c r="AS6" s="87"/>
      <c r="AT6" s="88"/>
      <c r="AU6" s="128"/>
      <c r="AV6" s="88"/>
      <c r="AW6" s="87"/>
      <c r="AX6" s="128"/>
      <c r="AY6" s="90">
        <v>1</v>
      </c>
      <c r="AZ6" s="128"/>
      <c r="BA6" s="86"/>
      <c r="BB6" s="128"/>
      <c r="BC6" s="128"/>
      <c r="BD6" s="88"/>
      <c r="BE6" s="36"/>
      <c r="BF6" s="88"/>
      <c r="BG6" s="88"/>
      <c r="BH6" s="88"/>
      <c r="BI6" s="88"/>
      <c r="BJ6" s="86">
        <v>1</v>
      </c>
      <c r="BK6" s="163"/>
      <c r="BL6" s="86"/>
      <c r="BM6" s="88"/>
      <c r="BN6" s="88"/>
      <c r="BO6" s="261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ht="40.200000000000003" customHeight="1" x14ac:dyDescent="0.5">
      <c r="A7" s="8" t="s">
        <v>13</v>
      </c>
      <c r="B7" s="2" t="s">
        <v>14</v>
      </c>
      <c r="C7" s="1">
        <v>1904</v>
      </c>
      <c r="D7" s="43" t="s">
        <v>15</v>
      </c>
      <c r="E7" s="35" t="s">
        <v>327</v>
      </c>
      <c r="F7" s="36" t="s">
        <v>50</v>
      </c>
      <c r="G7" s="111">
        <v>27</v>
      </c>
      <c r="H7" s="124">
        <v>9</v>
      </c>
      <c r="I7" s="107">
        <v>4</v>
      </c>
      <c r="J7" s="88"/>
      <c r="K7" s="88"/>
      <c r="L7" s="90">
        <v>2</v>
      </c>
      <c r="M7" s="88"/>
      <c r="N7" s="107">
        <v>3</v>
      </c>
      <c r="O7" s="124">
        <v>5</v>
      </c>
      <c r="P7" s="111">
        <v>4</v>
      </c>
      <c r="Q7" s="90"/>
      <c r="R7" s="36" t="s">
        <v>387</v>
      </c>
      <c r="S7" s="90"/>
      <c r="T7" s="128"/>
      <c r="U7" s="186"/>
      <c r="V7" s="87"/>
      <c r="W7" s="88"/>
      <c r="X7" s="90"/>
      <c r="Y7" s="88"/>
      <c r="Z7" s="87"/>
      <c r="AA7" s="128"/>
      <c r="AB7" s="90"/>
      <c r="AC7" s="88"/>
      <c r="AD7" s="90"/>
      <c r="AE7" s="87"/>
      <c r="AF7" s="271">
        <v>2</v>
      </c>
      <c r="AG7" s="90"/>
      <c r="AH7" s="128"/>
      <c r="AI7" s="124">
        <v>4</v>
      </c>
      <c r="AJ7" s="88">
        <v>2</v>
      </c>
      <c r="AK7" s="128">
        <v>1</v>
      </c>
      <c r="AL7" s="90"/>
      <c r="AM7" s="87"/>
      <c r="AN7" s="88"/>
      <c r="AO7" s="128"/>
      <c r="AP7" s="253"/>
      <c r="AQ7" s="253"/>
      <c r="AR7" s="90"/>
      <c r="AS7" s="87"/>
      <c r="AT7" s="88"/>
      <c r="AU7" s="128"/>
      <c r="AV7" s="111">
        <v>3</v>
      </c>
      <c r="AW7" s="87"/>
      <c r="AX7" s="128"/>
      <c r="AY7" s="90"/>
      <c r="AZ7" s="128"/>
      <c r="BA7" s="132"/>
      <c r="BB7" s="128"/>
      <c r="BC7" s="128"/>
      <c r="BD7" s="88"/>
      <c r="BE7" s="36" t="s">
        <v>44</v>
      </c>
      <c r="BF7" s="111">
        <v>13</v>
      </c>
      <c r="BG7" s="111">
        <v>6</v>
      </c>
      <c r="BH7" s="111">
        <v>2</v>
      </c>
      <c r="BI7" s="88"/>
      <c r="BJ7" s="86">
        <v>1</v>
      </c>
      <c r="BK7" s="274">
        <v>4</v>
      </c>
      <c r="BL7" s="173">
        <v>2</v>
      </c>
      <c r="BM7" s="88">
        <v>1</v>
      </c>
      <c r="BN7" s="88">
        <v>1</v>
      </c>
      <c r="BO7" s="261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ht="37.200000000000003" customHeight="1" thickBot="1" x14ac:dyDescent="0.55000000000000004">
      <c r="A8" s="9" t="s">
        <v>16</v>
      </c>
      <c r="B8" s="10" t="s">
        <v>17</v>
      </c>
      <c r="C8" s="11">
        <v>1905</v>
      </c>
      <c r="D8" s="44" t="s">
        <v>7</v>
      </c>
      <c r="E8" s="67" t="s">
        <v>337</v>
      </c>
      <c r="F8" s="45" t="s">
        <v>40</v>
      </c>
      <c r="G8" s="108">
        <v>12</v>
      </c>
      <c r="H8" s="123">
        <v>4</v>
      </c>
      <c r="I8" s="93">
        <v>1</v>
      </c>
      <c r="J8" s="93"/>
      <c r="K8" s="93"/>
      <c r="L8" s="249">
        <v>6</v>
      </c>
      <c r="M8" s="112">
        <v>6</v>
      </c>
      <c r="N8" s="93"/>
      <c r="O8" s="95">
        <v>1</v>
      </c>
      <c r="P8" s="93">
        <v>3</v>
      </c>
      <c r="Q8" s="95"/>
      <c r="R8" s="45" t="s">
        <v>104</v>
      </c>
      <c r="S8" s="123">
        <v>8</v>
      </c>
      <c r="T8" s="193">
        <v>1</v>
      </c>
      <c r="U8" s="266">
        <v>2</v>
      </c>
      <c r="V8" s="92"/>
      <c r="W8" s="112">
        <v>2</v>
      </c>
      <c r="X8" s="95"/>
      <c r="Y8" s="93"/>
      <c r="Z8" s="92"/>
      <c r="AA8" s="129"/>
      <c r="AB8" s="95">
        <v>2</v>
      </c>
      <c r="AC8" s="112">
        <v>3</v>
      </c>
      <c r="AD8" s="95"/>
      <c r="AE8" s="135"/>
      <c r="AF8" s="193"/>
      <c r="AG8" s="95"/>
      <c r="AH8" s="129">
        <v>1</v>
      </c>
      <c r="AI8" s="95"/>
      <c r="AJ8" s="93"/>
      <c r="AK8" s="129"/>
      <c r="AL8" s="191"/>
      <c r="AM8" s="92"/>
      <c r="AN8" s="136"/>
      <c r="AO8" s="193"/>
      <c r="AP8" s="268">
        <v>12</v>
      </c>
      <c r="AQ8" s="254">
        <v>1</v>
      </c>
      <c r="AR8" s="95"/>
      <c r="AS8" s="92"/>
      <c r="AT8" s="136"/>
      <c r="AU8" s="129"/>
      <c r="AV8" s="93"/>
      <c r="AW8" s="92"/>
      <c r="AX8" s="129"/>
      <c r="AY8" s="95"/>
      <c r="AZ8" s="270">
        <v>2</v>
      </c>
      <c r="BA8" s="91"/>
      <c r="BB8" s="129"/>
      <c r="BC8" s="129">
        <v>1</v>
      </c>
      <c r="BD8" s="93"/>
      <c r="BE8" s="45" t="s">
        <v>46</v>
      </c>
      <c r="BF8" s="93"/>
      <c r="BG8" s="93"/>
      <c r="BH8" s="93"/>
      <c r="BI8" s="93">
        <v>1</v>
      </c>
      <c r="BJ8" s="91">
        <v>2</v>
      </c>
      <c r="BK8" s="164"/>
      <c r="BL8" s="134"/>
      <c r="BM8" s="93">
        <v>1</v>
      </c>
      <c r="BN8" s="93"/>
      <c r="BO8" s="261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ht="34.799999999999997" customHeight="1" thickTop="1" x14ac:dyDescent="0.5">
      <c r="A9" s="12" t="s">
        <v>11</v>
      </c>
      <c r="B9" s="13" t="s">
        <v>18</v>
      </c>
      <c r="C9" s="12">
        <v>1908</v>
      </c>
      <c r="D9" s="51" t="s">
        <v>7</v>
      </c>
      <c r="E9" s="35" t="s">
        <v>342</v>
      </c>
      <c r="F9" s="27" t="s">
        <v>49</v>
      </c>
      <c r="G9" s="98"/>
      <c r="H9" s="100">
        <v>2</v>
      </c>
      <c r="I9" s="98"/>
      <c r="J9" s="98"/>
      <c r="K9" s="98"/>
      <c r="L9" s="100"/>
      <c r="M9" s="98"/>
      <c r="N9" s="98"/>
      <c r="O9" s="100"/>
      <c r="P9" s="98"/>
      <c r="Q9" s="100"/>
      <c r="R9" s="27" t="s">
        <v>40</v>
      </c>
      <c r="S9" s="100"/>
      <c r="T9" s="130"/>
      <c r="U9" s="188"/>
      <c r="V9" s="97"/>
      <c r="W9" s="98"/>
      <c r="X9" s="100"/>
      <c r="Y9" s="98"/>
      <c r="Z9" s="97"/>
      <c r="AA9" s="130"/>
      <c r="AB9" s="139"/>
      <c r="AC9" s="98"/>
      <c r="AD9" s="100"/>
      <c r="AE9" s="97"/>
      <c r="AF9" s="130"/>
      <c r="AG9" s="100">
        <v>1</v>
      </c>
      <c r="AH9" s="130"/>
      <c r="AI9" s="100"/>
      <c r="AJ9" s="98"/>
      <c r="AK9" s="130"/>
      <c r="AL9" s="100"/>
      <c r="AM9" s="97"/>
      <c r="AN9" s="98"/>
      <c r="AO9" s="130"/>
      <c r="AP9" s="255"/>
      <c r="AQ9" s="258">
        <v>1</v>
      </c>
      <c r="AR9" s="100"/>
      <c r="AS9" s="97"/>
      <c r="AT9" s="98"/>
      <c r="AU9" s="130"/>
      <c r="AV9" s="98"/>
      <c r="AW9" s="97"/>
      <c r="AX9" s="130"/>
      <c r="AY9" s="100"/>
      <c r="AZ9" s="130"/>
      <c r="BA9" s="96"/>
      <c r="BB9" s="130"/>
      <c r="BC9" s="192"/>
      <c r="BD9" s="98"/>
      <c r="BE9" s="27" t="s">
        <v>48</v>
      </c>
      <c r="BF9" s="98"/>
      <c r="BG9" s="98"/>
      <c r="BH9" s="98"/>
      <c r="BI9" s="98">
        <v>1</v>
      </c>
      <c r="BJ9" s="96"/>
      <c r="BK9" s="165"/>
      <c r="BL9" s="96"/>
      <c r="BM9" s="98"/>
      <c r="BN9" s="98"/>
      <c r="BO9" s="261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ht="36.6" customHeight="1" x14ac:dyDescent="0.5">
      <c r="A10" s="1" t="s">
        <v>19</v>
      </c>
      <c r="B10" s="2" t="s">
        <v>20</v>
      </c>
      <c r="C10" s="1">
        <v>1908</v>
      </c>
      <c r="D10" s="43" t="s">
        <v>15</v>
      </c>
      <c r="E10" s="35" t="s">
        <v>343</v>
      </c>
      <c r="F10" s="36" t="s">
        <v>46</v>
      </c>
      <c r="G10" s="88">
        <v>7</v>
      </c>
      <c r="H10" s="90"/>
      <c r="I10" s="88"/>
      <c r="J10" s="88"/>
      <c r="K10" s="88"/>
      <c r="L10" s="90"/>
      <c r="M10" s="88">
        <v>1</v>
      </c>
      <c r="N10" s="88"/>
      <c r="O10" s="90"/>
      <c r="P10" s="88"/>
      <c r="Q10" s="90"/>
      <c r="R10" s="36"/>
      <c r="S10" s="90">
        <v>2</v>
      </c>
      <c r="T10" s="128">
        <v>2</v>
      </c>
      <c r="U10" s="273">
        <v>5</v>
      </c>
      <c r="V10" s="87">
        <v>1</v>
      </c>
      <c r="W10" s="88"/>
      <c r="X10" s="90"/>
      <c r="Y10" s="88"/>
      <c r="Z10" s="87">
        <v>1</v>
      </c>
      <c r="AA10" s="128"/>
      <c r="AB10" s="124">
        <v>4</v>
      </c>
      <c r="AC10" s="133"/>
      <c r="AD10" s="251"/>
      <c r="AE10" s="87"/>
      <c r="AF10" s="128">
        <v>1</v>
      </c>
      <c r="AG10" s="90">
        <v>2</v>
      </c>
      <c r="AH10" s="128"/>
      <c r="AI10" s="90">
        <v>1</v>
      </c>
      <c r="AJ10" s="88"/>
      <c r="AK10" s="128"/>
      <c r="AL10" s="90">
        <v>2</v>
      </c>
      <c r="AM10" s="87"/>
      <c r="AN10" s="88"/>
      <c r="AO10" s="128"/>
      <c r="AP10" s="253"/>
      <c r="AQ10" s="253">
        <v>2</v>
      </c>
      <c r="AR10" s="90"/>
      <c r="AS10" s="137"/>
      <c r="AT10" s="133"/>
      <c r="AU10" s="194"/>
      <c r="AV10" s="88"/>
      <c r="AW10" s="87"/>
      <c r="AX10" s="128"/>
      <c r="AY10" s="90"/>
      <c r="AZ10" s="128">
        <v>1</v>
      </c>
      <c r="BA10" s="173">
        <v>1</v>
      </c>
      <c r="BB10" s="271">
        <v>1</v>
      </c>
      <c r="BC10" s="128"/>
      <c r="BD10" s="88"/>
      <c r="BE10" s="36" t="s">
        <v>45</v>
      </c>
      <c r="BF10" s="88"/>
      <c r="BG10" s="88"/>
      <c r="BH10" s="88"/>
      <c r="BI10" s="88"/>
      <c r="BJ10" s="86"/>
      <c r="BK10" s="163"/>
      <c r="BL10" s="86"/>
      <c r="BM10" s="88"/>
      <c r="BN10" s="133"/>
      <c r="BO10" s="261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ht="37.200000000000003" customHeight="1" x14ac:dyDescent="0.5">
      <c r="A11" s="140" t="s">
        <v>21</v>
      </c>
      <c r="B11" s="2" t="s">
        <v>22</v>
      </c>
      <c r="C11" s="1">
        <v>1909</v>
      </c>
      <c r="D11" s="43" t="s">
        <v>7</v>
      </c>
      <c r="E11" s="35" t="s">
        <v>346</v>
      </c>
      <c r="F11" s="36" t="s">
        <v>40</v>
      </c>
      <c r="G11" s="88"/>
      <c r="H11" s="90"/>
      <c r="I11" s="88"/>
      <c r="J11" s="88"/>
      <c r="K11" s="88"/>
      <c r="L11" s="90"/>
      <c r="M11" s="88"/>
      <c r="N11" s="88"/>
      <c r="O11" s="90"/>
      <c r="P11" s="88"/>
      <c r="Q11" s="90"/>
      <c r="R11" s="36" t="s">
        <v>369</v>
      </c>
      <c r="S11" s="90"/>
      <c r="T11" s="128">
        <v>1</v>
      </c>
      <c r="U11" s="186"/>
      <c r="V11" s="87"/>
      <c r="W11" s="88"/>
      <c r="X11" s="90"/>
      <c r="Y11" s="88"/>
      <c r="Z11" s="87"/>
      <c r="AA11" s="128"/>
      <c r="AB11" s="90"/>
      <c r="AC11" s="88">
        <v>1</v>
      </c>
      <c r="AD11" s="90"/>
      <c r="AE11" s="87"/>
      <c r="AF11" s="128"/>
      <c r="AG11" s="90">
        <v>1</v>
      </c>
      <c r="AH11" s="128"/>
      <c r="AI11" s="90"/>
      <c r="AJ11" s="88"/>
      <c r="AK11" s="128"/>
      <c r="AL11" s="90"/>
      <c r="AM11" s="87"/>
      <c r="AN11" s="88"/>
      <c r="AO11" s="128"/>
      <c r="AP11" s="253"/>
      <c r="AQ11" s="253"/>
      <c r="AR11" s="90"/>
      <c r="AS11" s="87"/>
      <c r="AT11" s="88"/>
      <c r="AU11" s="128"/>
      <c r="AV11" s="88"/>
      <c r="AW11" s="87"/>
      <c r="AX11" s="128"/>
      <c r="AY11" s="90"/>
      <c r="AZ11" s="128"/>
      <c r="BA11" s="86"/>
      <c r="BB11" s="128"/>
      <c r="BC11" s="128"/>
      <c r="BD11" s="88"/>
      <c r="BE11" s="36" t="s">
        <v>49</v>
      </c>
      <c r="BF11" s="88"/>
      <c r="BG11" s="88"/>
      <c r="BH11" s="88">
        <v>1</v>
      </c>
      <c r="BI11" s="88"/>
      <c r="BJ11" s="86"/>
      <c r="BK11" s="163"/>
      <c r="BL11" s="86"/>
      <c r="BM11" s="88"/>
      <c r="BN11" s="88"/>
      <c r="BO11" s="26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ht="33.6" customHeight="1" x14ac:dyDescent="0.5">
      <c r="A12" s="1" t="s">
        <v>23</v>
      </c>
      <c r="B12" s="2" t="s">
        <v>24</v>
      </c>
      <c r="C12" s="1">
        <v>1909</v>
      </c>
      <c r="D12" s="43" t="s">
        <v>15</v>
      </c>
      <c r="E12" s="35" t="s">
        <v>346</v>
      </c>
      <c r="F12" s="36"/>
      <c r="G12" s="88">
        <v>1</v>
      </c>
      <c r="H12" s="90"/>
      <c r="I12" s="88"/>
      <c r="J12" s="88"/>
      <c r="K12" s="88"/>
      <c r="L12" s="90"/>
      <c r="M12" s="88"/>
      <c r="N12" s="88"/>
      <c r="O12" s="90"/>
      <c r="P12" s="88"/>
      <c r="Q12" s="90"/>
      <c r="R12" s="36"/>
      <c r="S12" s="90"/>
      <c r="T12" s="128">
        <v>1</v>
      </c>
      <c r="U12" s="186"/>
      <c r="V12" s="87"/>
      <c r="W12" s="88"/>
      <c r="X12" s="251"/>
      <c r="Y12" s="133"/>
      <c r="Z12" s="137"/>
      <c r="AA12" s="194"/>
      <c r="AB12" s="90"/>
      <c r="AC12" s="88"/>
      <c r="AD12" s="90"/>
      <c r="AE12" s="87"/>
      <c r="AF12" s="128"/>
      <c r="AG12" s="90"/>
      <c r="AH12" s="128"/>
      <c r="AI12" s="90"/>
      <c r="AJ12" s="133"/>
      <c r="AK12" s="194"/>
      <c r="AL12" s="90"/>
      <c r="AM12" s="87"/>
      <c r="AN12" s="88"/>
      <c r="AO12" s="128"/>
      <c r="AP12" s="253"/>
      <c r="AQ12" s="253">
        <v>1</v>
      </c>
      <c r="AR12" s="90"/>
      <c r="AS12" s="87"/>
      <c r="AT12" s="88"/>
      <c r="AU12" s="128"/>
      <c r="AV12" s="88"/>
      <c r="AW12" s="87"/>
      <c r="AX12" s="128"/>
      <c r="AY12" s="90">
        <v>1</v>
      </c>
      <c r="AZ12" s="128"/>
      <c r="BA12" s="86"/>
      <c r="BB12" s="128"/>
      <c r="BC12" s="128"/>
      <c r="BD12" s="133"/>
      <c r="BE12" s="36" t="s">
        <v>41</v>
      </c>
      <c r="BF12" s="133"/>
      <c r="BG12" s="133"/>
      <c r="BH12" s="133"/>
      <c r="BI12" s="133"/>
      <c r="BJ12" s="86"/>
      <c r="BK12" s="163"/>
      <c r="BL12" s="86"/>
      <c r="BM12" s="88"/>
      <c r="BN12" s="88"/>
      <c r="BO12" s="261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ht="32.4" customHeight="1" x14ac:dyDescent="0.5">
      <c r="A13" s="1" t="s">
        <v>25</v>
      </c>
      <c r="B13" s="2" t="s">
        <v>26</v>
      </c>
      <c r="C13" s="1">
        <v>1910</v>
      </c>
      <c r="D13" s="43" t="s">
        <v>7</v>
      </c>
      <c r="E13" s="35" t="s">
        <v>348</v>
      </c>
      <c r="F13" s="36"/>
      <c r="G13" s="107">
        <v>8</v>
      </c>
      <c r="H13" s="90"/>
      <c r="I13" s="88"/>
      <c r="J13" s="88"/>
      <c r="K13" s="88"/>
      <c r="L13" s="90"/>
      <c r="M13" s="88"/>
      <c r="N13" s="88"/>
      <c r="O13" s="90"/>
      <c r="P13" s="88"/>
      <c r="Q13" s="90"/>
      <c r="R13" s="36" t="s">
        <v>39</v>
      </c>
      <c r="S13" s="90"/>
      <c r="T13" s="128">
        <v>2</v>
      </c>
      <c r="U13" s="264">
        <v>3</v>
      </c>
      <c r="V13" s="87"/>
      <c r="W13" s="88"/>
      <c r="X13" s="124">
        <v>6</v>
      </c>
      <c r="Y13" s="88"/>
      <c r="Z13" s="137">
        <v>2</v>
      </c>
      <c r="AA13" s="128"/>
      <c r="AB13" s="90"/>
      <c r="AC13" s="88"/>
      <c r="AD13" s="90"/>
      <c r="AE13" s="87"/>
      <c r="AF13" s="128"/>
      <c r="AG13" s="90"/>
      <c r="AH13" s="128"/>
      <c r="AI13" s="90"/>
      <c r="AJ13" s="88"/>
      <c r="AK13" s="128"/>
      <c r="AL13" s="90"/>
      <c r="AM13" s="87"/>
      <c r="AN13" s="88"/>
      <c r="AO13" s="128"/>
      <c r="AP13" s="253"/>
      <c r="AQ13" s="253"/>
      <c r="AR13" s="90"/>
      <c r="AS13" s="87"/>
      <c r="AT13" s="88"/>
      <c r="AU13" s="128"/>
      <c r="AV13" s="88"/>
      <c r="AW13" s="87"/>
      <c r="AX13" s="128"/>
      <c r="AY13" s="90"/>
      <c r="AZ13" s="128"/>
      <c r="BA13" s="86"/>
      <c r="BB13" s="128"/>
      <c r="BC13" s="128"/>
      <c r="BD13" s="88"/>
      <c r="BE13" s="36" t="s">
        <v>384</v>
      </c>
      <c r="BF13" s="88"/>
      <c r="BG13" s="88"/>
      <c r="BH13" s="88"/>
      <c r="BI13" s="88"/>
      <c r="BJ13" s="86">
        <v>3</v>
      </c>
      <c r="BK13" s="163">
        <v>1</v>
      </c>
      <c r="BL13" s="143">
        <v>3</v>
      </c>
      <c r="BM13" s="88"/>
      <c r="BN13" s="88"/>
      <c r="BO13" s="261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ht="30" customHeight="1" thickBot="1" x14ac:dyDescent="0.55000000000000004">
      <c r="A14" s="14" t="s">
        <v>27</v>
      </c>
      <c r="B14" s="58" t="s">
        <v>28</v>
      </c>
      <c r="C14" s="59">
        <v>1910</v>
      </c>
      <c r="D14" s="60" t="s">
        <v>29</v>
      </c>
      <c r="E14" s="67" t="s">
        <v>351</v>
      </c>
      <c r="F14" s="45"/>
      <c r="G14" s="103"/>
      <c r="H14" s="105"/>
      <c r="I14" s="103"/>
      <c r="J14" s="103"/>
      <c r="K14" s="103"/>
      <c r="L14" s="105"/>
      <c r="M14" s="103"/>
      <c r="N14" s="103"/>
      <c r="O14" s="105"/>
      <c r="P14" s="103"/>
      <c r="Q14" s="105"/>
      <c r="R14" s="45" t="s">
        <v>41</v>
      </c>
      <c r="S14" s="105">
        <v>3</v>
      </c>
      <c r="T14" s="131">
        <v>2</v>
      </c>
      <c r="U14" s="189">
        <v>1</v>
      </c>
      <c r="V14" s="102"/>
      <c r="W14" s="103">
        <v>1</v>
      </c>
      <c r="X14" s="105"/>
      <c r="Y14" s="103"/>
      <c r="Z14" s="102"/>
      <c r="AA14" s="131"/>
      <c r="AB14" s="105"/>
      <c r="AC14" s="103"/>
      <c r="AD14" s="105">
        <v>2</v>
      </c>
      <c r="AE14" s="102"/>
      <c r="AF14" s="131"/>
      <c r="AG14" s="105"/>
      <c r="AH14" s="131"/>
      <c r="AI14" s="105"/>
      <c r="AJ14" s="103"/>
      <c r="AK14" s="131"/>
      <c r="AL14" s="105"/>
      <c r="AM14" s="102"/>
      <c r="AN14" s="103"/>
      <c r="AO14" s="131"/>
      <c r="AP14" s="256"/>
      <c r="AQ14" s="256">
        <v>1</v>
      </c>
      <c r="AR14" s="105"/>
      <c r="AS14" s="102"/>
      <c r="AT14" s="103"/>
      <c r="AU14" s="131"/>
      <c r="AV14" s="103"/>
      <c r="AW14" s="102">
        <v>1</v>
      </c>
      <c r="AX14" s="131"/>
      <c r="AY14" s="105"/>
      <c r="AZ14" s="131"/>
      <c r="BA14" s="101"/>
      <c r="BB14" s="131"/>
      <c r="BC14" s="131"/>
      <c r="BD14" s="103"/>
      <c r="BE14" s="45" t="s">
        <v>43</v>
      </c>
      <c r="BF14" s="103"/>
      <c r="BG14" s="103"/>
      <c r="BH14" s="103"/>
      <c r="BI14" s="103">
        <v>1</v>
      </c>
      <c r="BJ14" s="101"/>
      <c r="BK14" s="166"/>
      <c r="BL14" s="101"/>
      <c r="BM14" s="103"/>
      <c r="BN14" s="103"/>
      <c r="BO14" s="261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ht="33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35" t="s">
        <v>356</v>
      </c>
      <c r="F15" s="27"/>
      <c r="G15" s="83">
        <v>3</v>
      </c>
      <c r="H15" s="148">
        <v>4</v>
      </c>
      <c r="I15" s="115">
        <v>7</v>
      </c>
      <c r="J15" s="83">
        <v>1</v>
      </c>
      <c r="K15" s="146">
        <v>2</v>
      </c>
      <c r="L15" s="85"/>
      <c r="M15" s="83"/>
      <c r="N15" s="83">
        <v>1</v>
      </c>
      <c r="O15" s="85"/>
      <c r="P15" s="83"/>
      <c r="Q15" s="85">
        <v>1</v>
      </c>
      <c r="R15" s="27" t="s">
        <v>45</v>
      </c>
      <c r="S15" s="148">
        <v>8</v>
      </c>
      <c r="T15" s="272">
        <v>8</v>
      </c>
      <c r="U15" s="185">
        <v>1</v>
      </c>
      <c r="V15" s="82"/>
      <c r="W15" s="83"/>
      <c r="X15" s="85">
        <v>1</v>
      </c>
      <c r="Y15" s="83"/>
      <c r="Z15" s="82"/>
      <c r="AA15" s="127">
        <v>1</v>
      </c>
      <c r="AB15" s="85">
        <v>1</v>
      </c>
      <c r="AC15" s="83">
        <v>1</v>
      </c>
      <c r="AD15" s="85">
        <v>2</v>
      </c>
      <c r="AE15" s="82"/>
      <c r="AF15" s="127"/>
      <c r="AG15" s="85"/>
      <c r="AH15" s="127"/>
      <c r="AI15" s="85"/>
      <c r="AJ15" s="83"/>
      <c r="AK15" s="127"/>
      <c r="AL15" s="85">
        <v>1</v>
      </c>
      <c r="AM15" s="80">
        <v>4</v>
      </c>
      <c r="AN15" s="83">
        <v>2</v>
      </c>
      <c r="AO15" s="127"/>
      <c r="AP15" s="252"/>
      <c r="AQ15" s="252"/>
      <c r="AR15" s="85"/>
      <c r="AS15" s="82"/>
      <c r="AT15" s="83"/>
      <c r="AU15" s="127"/>
      <c r="AV15" s="83">
        <v>1</v>
      </c>
      <c r="AW15" s="82"/>
      <c r="AX15" s="127"/>
      <c r="AY15" s="85"/>
      <c r="AZ15" s="127"/>
      <c r="BA15" s="81"/>
      <c r="BB15" s="127"/>
      <c r="BC15" s="127"/>
      <c r="BD15" s="83"/>
      <c r="BE15" s="27" t="s">
        <v>384</v>
      </c>
      <c r="BF15" s="83"/>
      <c r="BG15" s="83"/>
      <c r="BH15" s="83"/>
      <c r="BI15" s="83"/>
      <c r="BJ15" s="81"/>
      <c r="BK15" s="275">
        <v>4</v>
      </c>
      <c r="BL15" s="81"/>
      <c r="BM15" s="115">
        <v>2</v>
      </c>
      <c r="BN15" s="83"/>
      <c r="BO15" s="261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ht="34.799999999999997" customHeight="1" x14ac:dyDescent="0.5">
      <c r="A16" s="8" t="s">
        <v>32</v>
      </c>
      <c r="B16" s="2" t="s">
        <v>33</v>
      </c>
      <c r="C16" s="1">
        <v>1912</v>
      </c>
      <c r="D16" s="43" t="s">
        <v>7</v>
      </c>
      <c r="E16" s="35" t="s">
        <v>358</v>
      </c>
      <c r="F16" s="36"/>
      <c r="G16" s="88">
        <v>1</v>
      </c>
      <c r="H16" s="90">
        <v>3</v>
      </c>
      <c r="I16" s="88">
        <v>1</v>
      </c>
      <c r="J16" s="88"/>
      <c r="K16" s="88"/>
      <c r="L16" s="90">
        <v>2</v>
      </c>
      <c r="M16" s="88"/>
      <c r="N16" s="88">
        <v>2</v>
      </c>
      <c r="O16" s="90">
        <v>1</v>
      </c>
      <c r="P16" s="88">
        <v>2</v>
      </c>
      <c r="Q16" s="90">
        <v>1</v>
      </c>
      <c r="R16" s="36" t="s">
        <v>384</v>
      </c>
      <c r="S16" s="90">
        <v>2</v>
      </c>
      <c r="T16" s="263">
        <v>7</v>
      </c>
      <c r="U16" s="186"/>
      <c r="V16" s="87"/>
      <c r="W16" s="88"/>
      <c r="X16" s="90"/>
      <c r="Y16" s="88"/>
      <c r="Z16" s="87"/>
      <c r="AA16" s="128"/>
      <c r="AB16" s="90"/>
      <c r="AC16" s="88"/>
      <c r="AD16" s="124">
        <v>5</v>
      </c>
      <c r="AE16" s="87"/>
      <c r="AF16" s="128"/>
      <c r="AG16" s="90"/>
      <c r="AH16" s="128"/>
      <c r="AI16" s="90"/>
      <c r="AJ16" s="88"/>
      <c r="AK16" s="128"/>
      <c r="AL16" s="90"/>
      <c r="AM16" s="87"/>
      <c r="AN16" s="88"/>
      <c r="AO16" s="128">
        <v>1</v>
      </c>
      <c r="AP16" s="253"/>
      <c r="AQ16" s="253"/>
      <c r="AR16" s="90"/>
      <c r="AS16" s="87"/>
      <c r="AT16" s="88"/>
      <c r="AU16" s="128"/>
      <c r="AV16" s="88"/>
      <c r="AW16" s="87"/>
      <c r="AX16" s="128"/>
      <c r="AY16" s="251"/>
      <c r="AZ16" s="128"/>
      <c r="BA16" s="86"/>
      <c r="BB16" s="128"/>
      <c r="BC16" s="128"/>
      <c r="BD16" s="88"/>
      <c r="BE16" s="36"/>
      <c r="BF16" s="88"/>
      <c r="BG16" s="88"/>
      <c r="BH16" s="88"/>
      <c r="BI16" s="88"/>
      <c r="BJ16" s="86"/>
      <c r="BK16" s="163"/>
      <c r="BL16" s="86"/>
      <c r="BM16" s="88"/>
      <c r="BN16" s="88"/>
      <c r="BO16" s="261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ht="29.4" customHeight="1" x14ac:dyDescent="0.5">
      <c r="A17" s="8" t="s">
        <v>34</v>
      </c>
      <c r="B17" s="2" t="s">
        <v>35</v>
      </c>
      <c r="C17" s="1">
        <v>1913</v>
      </c>
      <c r="D17" s="43" t="s">
        <v>7</v>
      </c>
      <c r="E17" s="35" t="s">
        <v>360</v>
      </c>
      <c r="F17" s="36"/>
      <c r="G17" s="88"/>
      <c r="H17" s="90">
        <v>1</v>
      </c>
      <c r="I17" s="88">
        <v>1</v>
      </c>
      <c r="J17" s="88"/>
      <c r="K17" s="88"/>
      <c r="L17" s="90"/>
      <c r="M17" s="88"/>
      <c r="N17" s="88"/>
      <c r="O17" s="90">
        <v>1</v>
      </c>
      <c r="P17" s="88"/>
      <c r="Q17" s="90"/>
      <c r="R17" s="36" t="s">
        <v>43</v>
      </c>
      <c r="S17" s="118">
        <v>9</v>
      </c>
      <c r="T17" s="263">
        <v>7</v>
      </c>
      <c r="U17" s="264">
        <v>2</v>
      </c>
      <c r="V17" s="87"/>
      <c r="W17" s="88"/>
      <c r="X17" s="90"/>
      <c r="Y17" s="88"/>
      <c r="Z17" s="87"/>
      <c r="AA17" s="128"/>
      <c r="AB17" s="90"/>
      <c r="AC17" s="88">
        <v>2</v>
      </c>
      <c r="AD17" s="90">
        <v>1</v>
      </c>
      <c r="AE17" s="87"/>
      <c r="AF17" s="128"/>
      <c r="AG17" s="90">
        <v>1</v>
      </c>
      <c r="AH17" s="271">
        <v>4</v>
      </c>
      <c r="AI17" s="90"/>
      <c r="AJ17" s="88"/>
      <c r="AK17" s="128"/>
      <c r="AL17" s="90"/>
      <c r="AM17" s="87"/>
      <c r="AN17" s="88"/>
      <c r="AO17" s="128"/>
      <c r="AP17" s="257"/>
      <c r="AQ17" s="269">
        <v>4</v>
      </c>
      <c r="AR17" s="90"/>
      <c r="AS17" s="87"/>
      <c r="AT17" s="88"/>
      <c r="AU17" s="128"/>
      <c r="AV17" s="133"/>
      <c r="AW17" s="137"/>
      <c r="AX17" s="128">
        <v>1</v>
      </c>
      <c r="AY17" s="90"/>
      <c r="AZ17" s="128"/>
      <c r="BA17" s="86"/>
      <c r="BB17" s="128"/>
      <c r="BC17" s="128"/>
      <c r="BD17" s="88"/>
      <c r="BE17" s="36"/>
      <c r="BF17" s="88"/>
      <c r="BG17" s="88"/>
      <c r="BH17" s="88"/>
      <c r="BI17" s="88"/>
      <c r="BJ17" s="86">
        <v>1</v>
      </c>
      <c r="BK17" s="163"/>
      <c r="BL17" s="86"/>
      <c r="BM17" s="88"/>
      <c r="BN17" s="88"/>
      <c r="BO17" s="261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ht="42.6" customHeight="1" thickBot="1" x14ac:dyDescent="0.55000000000000004">
      <c r="A18" s="9" t="s">
        <v>36</v>
      </c>
      <c r="B18" s="10" t="s">
        <v>37</v>
      </c>
      <c r="C18" s="11">
        <v>1914</v>
      </c>
      <c r="D18" s="44" t="s">
        <v>15</v>
      </c>
      <c r="E18" s="67" t="s">
        <v>361</v>
      </c>
      <c r="F18" s="68"/>
      <c r="G18" s="108">
        <v>8</v>
      </c>
      <c r="H18" s="95"/>
      <c r="I18" s="93"/>
      <c r="J18" s="93"/>
      <c r="K18" s="93"/>
      <c r="L18" s="123">
        <v>3</v>
      </c>
      <c r="M18" s="93"/>
      <c r="N18" s="112">
        <v>3</v>
      </c>
      <c r="O18" s="95">
        <v>1</v>
      </c>
      <c r="P18" s="93">
        <v>1</v>
      </c>
      <c r="Q18" s="95"/>
      <c r="R18" s="68" t="s">
        <v>384</v>
      </c>
      <c r="S18" s="95">
        <v>1</v>
      </c>
      <c r="T18" s="129">
        <v>1</v>
      </c>
      <c r="U18" s="187"/>
      <c r="V18" s="92"/>
      <c r="W18" s="93"/>
      <c r="X18" s="95"/>
      <c r="Y18" s="93"/>
      <c r="Z18" s="92"/>
      <c r="AA18" s="129"/>
      <c r="AB18" s="95">
        <v>1</v>
      </c>
      <c r="AC18" s="112">
        <v>6</v>
      </c>
      <c r="AD18" s="95"/>
      <c r="AE18" s="92"/>
      <c r="AF18" s="129"/>
      <c r="AG18" s="95"/>
      <c r="AH18" s="129"/>
      <c r="AI18" s="95">
        <v>1</v>
      </c>
      <c r="AJ18" s="93"/>
      <c r="AK18" s="129"/>
      <c r="AL18" s="95"/>
      <c r="AM18" s="92"/>
      <c r="AN18" s="93"/>
      <c r="AO18" s="129"/>
      <c r="AP18" s="254"/>
      <c r="AQ18" s="254"/>
      <c r="AR18" s="95"/>
      <c r="AS18" s="92"/>
      <c r="AT18" s="93"/>
      <c r="AU18" s="129"/>
      <c r="AV18" s="93"/>
      <c r="AW18" s="92"/>
      <c r="AX18" s="129"/>
      <c r="AY18" s="95"/>
      <c r="AZ18" s="129"/>
      <c r="BA18" s="91"/>
      <c r="BB18" s="129"/>
      <c r="BC18" s="129"/>
      <c r="BD18" s="93"/>
      <c r="BE18" s="68"/>
      <c r="BF18" s="93">
        <v>1</v>
      </c>
      <c r="BG18" s="93">
        <v>2</v>
      </c>
      <c r="BH18" s="93"/>
      <c r="BI18" s="93"/>
      <c r="BJ18" s="91"/>
      <c r="BK18" s="164"/>
      <c r="BL18" s="91"/>
      <c r="BM18" s="93"/>
      <c r="BN18" s="93"/>
      <c r="BO18" s="261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ht="39" customHeight="1" thickTop="1" thickBot="1" x14ac:dyDescent="0.35">
      <c r="A19" s="297" t="s">
        <v>363</v>
      </c>
      <c r="B19" s="297"/>
      <c r="C19" s="297"/>
      <c r="D19" s="298"/>
      <c r="E19" s="299" t="s">
        <v>52</v>
      </c>
      <c r="F19" s="70" t="s">
        <v>51</v>
      </c>
      <c r="G19" s="279">
        <v>72</v>
      </c>
      <c r="H19" s="71">
        <f t="shared" ref="H19:I19" si="0">SUM(H4:H18)</f>
        <v>26</v>
      </c>
      <c r="I19" s="72">
        <f t="shared" si="0"/>
        <v>15</v>
      </c>
      <c r="J19" s="72">
        <v>1</v>
      </c>
      <c r="K19" s="72">
        <v>2</v>
      </c>
      <c r="L19" s="71">
        <f>SUM(L4:L18)</f>
        <v>18</v>
      </c>
      <c r="M19" s="72">
        <f>SUM(M4:M18)</f>
        <v>7</v>
      </c>
      <c r="N19" s="72">
        <f>SUM(N4:N18)</f>
        <v>9</v>
      </c>
      <c r="O19" s="71">
        <f>SUM(O4:O18)</f>
        <v>11</v>
      </c>
      <c r="P19" s="72">
        <f>SUM(P4:P18)</f>
        <v>12</v>
      </c>
      <c r="Q19" s="279">
        <v>3</v>
      </c>
      <c r="R19" s="70" t="s">
        <v>51</v>
      </c>
      <c r="S19" s="71">
        <f t="shared" ref="S19:BD19" si="1">SUM(S4:S18)</f>
        <v>44</v>
      </c>
      <c r="T19" s="75">
        <f t="shared" si="1"/>
        <v>38</v>
      </c>
      <c r="U19" s="183">
        <f t="shared" si="1"/>
        <v>17</v>
      </c>
      <c r="V19" s="106">
        <f t="shared" si="1"/>
        <v>2</v>
      </c>
      <c r="W19" s="72">
        <f t="shared" si="1"/>
        <v>5</v>
      </c>
      <c r="X19" s="71">
        <f t="shared" si="1"/>
        <v>8</v>
      </c>
      <c r="Y19" s="72">
        <f t="shared" si="1"/>
        <v>5</v>
      </c>
      <c r="Z19" s="106">
        <f t="shared" si="1"/>
        <v>4</v>
      </c>
      <c r="AA19" s="75">
        <f t="shared" si="1"/>
        <v>3</v>
      </c>
      <c r="AB19" s="71">
        <f t="shared" si="1"/>
        <v>10</v>
      </c>
      <c r="AC19" s="75">
        <f t="shared" si="1"/>
        <v>17</v>
      </c>
      <c r="AD19" s="71">
        <f t="shared" si="1"/>
        <v>10</v>
      </c>
      <c r="AE19" s="106">
        <f t="shared" si="1"/>
        <v>3</v>
      </c>
      <c r="AF19" s="75">
        <f t="shared" ref="AF19" si="2">SUM(AF4:AF18)</f>
        <v>3</v>
      </c>
      <c r="AG19" s="71">
        <f t="shared" si="1"/>
        <v>9</v>
      </c>
      <c r="AH19" s="75">
        <f t="shared" si="1"/>
        <v>5</v>
      </c>
      <c r="AI19" s="71">
        <f t="shared" si="1"/>
        <v>10</v>
      </c>
      <c r="AJ19" s="72">
        <v>2</v>
      </c>
      <c r="AK19" s="75">
        <v>1</v>
      </c>
      <c r="AL19" s="71">
        <f t="shared" si="1"/>
        <v>6</v>
      </c>
      <c r="AM19" s="106">
        <f t="shared" si="1"/>
        <v>4</v>
      </c>
      <c r="AN19" s="72">
        <f t="shared" si="1"/>
        <v>2</v>
      </c>
      <c r="AO19" s="75">
        <f t="shared" si="1"/>
        <v>1</v>
      </c>
      <c r="AP19" s="279">
        <f t="shared" si="1"/>
        <v>12</v>
      </c>
      <c r="AQ19" s="279">
        <f t="shared" si="1"/>
        <v>10</v>
      </c>
      <c r="AR19" s="71">
        <f t="shared" ref="AR19:AV19" si="3">SUM(AR4:AR18)</f>
        <v>2</v>
      </c>
      <c r="AS19" s="106">
        <f t="shared" si="3"/>
        <v>2</v>
      </c>
      <c r="AT19" s="72">
        <f t="shared" si="3"/>
        <v>2</v>
      </c>
      <c r="AU19" s="75">
        <f t="shared" si="3"/>
        <v>1</v>
      </c>
      <c r="AV19" s="72">
        <f t="shared" si="3"/>
        <v>4</v>
      </c>
      <c r="AW19" s="106">
        <v>1</v>
      </c>
      <c r="AX19" s="75">
        <f t="shared" si="1"/>
        <v>1</v>
      </c>
      <c r="AY19" s="71">
        <f t="shared" si="1"/>
        <v>2</v>
      </c>
      <c r="AZ19" s="75">
        <f t="shared" si="1"/>
        <v>3</v>
      </c>
      <c r="BA19" s="71">
        <f t="shared" si="1"/>
        <v>1</v>
      </c>
      <c r="BB19" s="75">
        <f t="shared" si="1"/>
        <v>1</v>
      </c>
      <c r="BC19" s="314">
        <f t="shared" si="1"/>
        <v>2</v>
      </c>
      <c r="BD19" s="279">
        <f t="shared" si="1"/>
        <v>1</v>
      </c>
      <c r="BE19" s="70" t="s">
        <v>51</v>
      </c>
      <c r="BF19" s="72">
        <f t="shared" ref="BF19:BH19" si="4">SUM(BF4:BF18)</f>
        <v>15</v>
      </c>
      <c r="BG19" s="72">
        <f t="shared" si="4"/>
        <v>8</v>
      </c>
      <c r="BH19" s="72">
        <f t="shared" si="4"/>
        <v>3</v>
      </c>
      <c r="BI19" s="260">
        <v>3</v>
      </c>
      <c r="BJ19" s="76">
        <f t="shared" ref="BJ19" si="5">SUM(BJ4:BJ18)</f>
        <v>12</v>
      </c>
      <c r="BK19" s="260">
        <v>9</v>
      </c>
      <c r="BL19" s="71">
        <f t="shared" ref="BL19:BN19" si="6">SUM(BL4:BL18)</f>
        <v>5</v>
      </c>
      <c r="BM19" s="72">
        <f t="shared" si="6"/>
        <v>4</v>
      </c>
      <c r="BN19" s="72">
        <f t="shared" si="6"/>
        <v>1</v>
      </c>
      <c r="BO19" s="261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ht="67.8" customHeight="1" thickTop="1" thickBot="1" x14ac:dyDescent="0.35">
      <c r="A20" s="301" t="s">
        <v>390</v>
      </c>
      <c r="B20" s="301"/>
      <c r="C20" s="301"/>
      <c r="D20" s="302"/>
      <c r="E20" s="300"/>
      <c r="F20" s="78" t="s">
        <v>53</v>
      </c>
      <c r="G20" s="280"/>
      <c r="H20" s="292">
        <v>44</v>
      </c>
      <c r="I20" s="294"/>
      <c r="J20" s="294"/>
      <c r="K20" s="293"/>
      <c r="L20" s="292">
        <v>34</v>
      </c>
      <c r="M20" s="294"/>
      <c r="N20" s="293"/>
      <c r="O20" s="287">
        <v>23</v>
      </c>
      <c r="P20" s="289"/>
      <c r="Q20" s="280"/>
      <c r="R20" s="78" t="s">
        <v>53</v>
      </c>
      <c r="S20" s="287">
        <v>159</v>
      </c>
      <c r="T20" s="289"/>
      <c r="U20" s="287">
        <v>24</v>
      </c>
      <c r="V20" s="288"/>
      <c r="W20" s="288"/>
      <c r="X20" s="287">
        <v>20</v>
      </c>
      <c r="Y20" s="288"/>
      <c r="Z20" s="288"/>
      <c r="AA20" s="289"/>
      <c r="AB20" s="287">
        <v>27</v>
      </c>
      <c r="AC20" s="289"/>
      <c r="AD20" s="287">
        <v>16</v>
      </c>
      <c r="AE20" s="288"/>
      <c r="AF20" s="289"/>
      <c r="AG20" s="287">
        <v>14</v>
      </c>
      <c r="AH20" s="288"/>
      <c r="AI20" s="292">
        <v>13</v>
      </c>
      <c r="AJ20" s="294"/>
      <c r="AK20" s="293"/>
      <c r="AL20" s="325">
        <v>13</v>
      </c>
      <c r="AM20" s="326"/>
      <c r="AN20" s="326"/>
      <c r="AO20" s="327"/>
      <c r="AP20" s="280"/>
      <c r="AQ20" s="280"/>
      <c r="AR20" s="287">
        <v>7</v>
      </c>
      <c r="AS20" s="288"/>
      <c r="AT20" s="288"/>
      <c r="AU20" s="289"/>
      <c r="AV20" s="287">
        <v>6</v>
      </c>
      <c r="AW20" s="288"/>
      <c r="AX20" s="289"/>
      <c r="AY20" s="287">
        <v>5</v>
      </c>
      <c r="AZ20" s="289"/>
      <c r="BA20" s="287">
        <v>2</v>
      </c>
      <c r="BB20" s="289"/>
      <c r="BC20" s="315"/>
      <c r="BD20" s="280"/>
      <c r="BE20" s="78" t="s">
        <v>53</v>
      </c>
      <c r="BF20" s="292">
        <v>29</v>
      </c>
      <c r="BG20" s="294"/>
      <c r="BH20" s="294"/>
      <c r="BI20" s="293"/>
      <c r="BJ20" s="287">
        <v>21</v>
      </c>
      <c r="BK20" s="289"/>
      <c r="BL20" s="287">
        <v>10</v>
      </c>
      <c r="BM20" s="288"/>
      <c r="BN20" s="288"/>
      <c r="BO20" s="261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ht="21" customHeight="1" thickTop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ht="15.6" customHeigh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ht="15.6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ht="15.6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x14ac:dyDescent="0.3"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x14ac:dyDescent="0.3"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x14ac:dyDescent="0.3"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x14ac:dyDescent="0.3"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x14ac:dyDescent="0.3"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x14ac:dyDescent="0.3"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x14ac:dyDescent="0.3"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x14ac:dyDescent="0.3"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x14ac:dyDescent="0.3"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x14ac:dyDescent="0.3"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</row>
    <row r="79" spans="1:120" x14ac:dyDescent="0.3"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x14ac:dyDescent="0.3"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67:120" x14ac:dyDescent="0.3"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67:120" x14ac:dyDescent="0.3"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67:120" x14ac:dyDescent="0.3"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</row>
    <row r="84" spans="67:120" x14ac:dyDescent="0.3"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67:120" x14ac:dyDescent="0.3"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67:120" x14ac:dyDescent="0.3"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67:120" x14ac:dyDescent="0.3"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67:120" x14ac:dyDescent="0.3"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67:120" x14ac:dyDescent="0.3"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67:120" x14ac:dyDescent="0.3"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67:120" x14ac:dyDescent="0.3"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67:120" x14ac:dyDescent="0.3"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67:120" x14ac:dyDescent="0.3"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67:120" x14ac:dyDescent="0.3"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67:120" x14ac:dyDescent="0.3"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67:120" x14ac:dyDescent="0.3"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67:120" x14ac:dyDescent="0.3"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67:120" x14ac:dyDescent="0.3"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67:120" x14ac:dyDescent="0.3"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67:120" x14ac:dyDescent="0.3"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67:120" x14ac:dyDescent="0.3"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67:120" x14ac:dyDescent="0.3"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67:120" x14ac:dyDescent="0.3"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67:120" x14ac:dyDescent="0.3"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67:120" x14ac:dyDescent="0.3"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</row>
    <row r="106" spans="67:120" x14ac:dyDescent="0.3"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</row>
    <row r="107" spans="67:120" x14ac:dyDescent="0.3"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67:120" x14ac:dyDescent="0.3"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67:120" x14ac:dyDescent="0.3"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67:120" x14ac:dyDescent="0.3"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</sheetData>
  <mergeCells count="63">
    <mergeCell ref="A1:D1"/>
    <mergeCell ref="E1:E3"/>
    <mergeCell ref="F1:F3"/>
    <mergeCell ref="BE1:BE3"/>
    <mergeCell ref="A2:A3"/>
    <mergeCell ref="B2:B3"/>
    <mergeCell ref="C2:C3"/>
    <mergeCell ref="D2:D3"/>
    <mergeCell ref="A19:D19"/>
    <mergeCell ref="E19:E20"/>
    <mergeCell ref="A20:D20"/>
    <mergeCell ref="H20:K20"/>
    <mergeCell ref="AD20:AF20"/>
    <mergeCell ref="AB20:AC20"/>
    <mergeCell ref="G2:G3"/>
    <mergeCell ref="G19:G20"/>
    <mergeCell ref="H2:K2"/>
    <mergeCell ref="AI2:AK2"/>
    <mergeCell ref="BL20:BN20"/>
    <mergeCell ref="L2:N2"/>
    <mergeCell ref="L20:N20"/>
    <mergeCell ref="O20:P20"/>
    <mergeCell ref="O2:P2"/>
    <mergeCell ref="Q2:Q3"/>
    <mergeCell ref="Q19:Q20"/>
    <mergeCell ref="AL20:AO20"/>
    <mergeCell ref="AL2:AO2"/>
    <mergeCell ref="AD2:AF2"/>
    <mergeCell ref="AB2:AC2"/>
    <mergeCell ref="R1:R3"/>
    <mergeCell ref="BL2:BN2"/>
    <mergeCell ref="BA20:BB20"/>
    <mergeCell ref="BC19:BC20"/>
    <mergeCell ref="BD19:BD20"/>
    <mergeCell ref="G1:Q1"/>
    <mergeCell ref="S2:T2"/>
    <mergeCell ref="S20:T20"/>
    <mergeCell ref="U2:W2"/>
    <mergeCell ref="U20:W20"/>
    <mergeCell ref="X2:AA2"/>
    <mergeCell ref="X20:AA20"/>
    <mergeCell ref="AP19:AP20"/>
    <mergeCell ref="AP2:AP3"/>
    <mergeCell ref="AQ2:AQ3"/>
    <mergeCell ref="AQ19:AQ20"/>
    <mergeCell ref="AG2:AH2"/>
    <mergeCell ref="AG20:AH20"/>
    <mergeCell ref="BF1:BN1"/>
    <mergeCell ref="BF2:BI2"/>
    <mergeCell ref="BF20:BI20"/>
    <mergeCell ref="AR2:AU2"/>
    <mergeCell ref="AR20:AU20"/>
    <mergeCell ref="BC2:BC3"/>
    <mergeCell ref="BD2:BD3"/>
    <mergeCell ref="BJ2:BK2"/>
    <mergeCell ref="BJ20:BK20"/>
    <mergeCell ref="S1:BD1"/>
    <mergeCell ref="AI20:AK20"/>
    <mergeCell ref="AV2:AX2"/>
    <mergeCell ref="AV20:AX20"/>
    <mergeCell ref="AY2:AZ2"/>
    <mergeCell ref="AY20:AZ20"/>
    <mergeCell ref="BA2:BB2"/>
  </mergeCells>
  <conditionalFormatting sqref="A4:A11 A13 A15:A18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{CEE9DDDB-8519-4BFA-A1AC-9DD03DAB2AD9}</x14:id>
        </ext>
      </extLst>
    </cfRule>
  </conditionalFormatting>
  <hyperlinks>
    <hyperlink ref="D18" r:id="rId1" display="https://archive.org/details/throughspainreco00dickrich/page/n13/mode/2up" xr:uid="{E3FAFCAB-CCFA-4E1B-B742-9B7236D72216}"/>
    <hyperlink ref="D17" r:id="rId2" display="https://www.gutenberg.org/ebooks/7430" xr:uid="{004E00D1-A2D5-43C1-9AC6-FB42AEF218BF}"/>
    <hyperlink ref="D16" r:id="rId3" display="https://www.gutenberg.org/ebooks/40201" xr:uid="{303FFB70-66B2-4861-B350-65B6E012B6F9}"/>
    <hyperlink ref="D10" r:id="rId4" display="https://archive.org/details/sunshadowinspain00elliuoft" xr:uid="{3303CAAF-CB59-466B-8FE5-20A1B4983753}"/>
    <hyperlink ref="D8" r:id="rId5" display="https://www.gutenberg.org/ebooks/27252" xr:uid="{974F07F6-1008-4438-8EE7-D6EAF66566B4}"/>
    <hyperlink ref="D7" r:id="rId6" display="https://archive.org/details/atrampinspain00unkngoog/page/n8/mode/2up" xr:uid="{6AD8FF02-A456-4374-A96A-F613EB065C12}"/>
    <hyperlink ref="D6" r:id="rId7" display="https://www.gutenberg.org/ebooks/59944" xr:uid="{0490DC3B-E251-4E0A-896E-307472B1238E}"/>
    <hyperlink ref="D4" r:id="rId8" display="https://www.gutenberg.org/ebooks/38767" xr:uid="{31AC3B62-847E-44C0-801C-C4AB3AF90007}"/>
    <hyperlink ref="D9" r:id="rId9" display="https://www.gutenberg.org/ebooks/37944" xr:uid="{EBD8B2B0-6ECC-43F0-B8BF-8880150AD1B0}"/>
    <hyperlink ref="D13" r:id="rId10" display="https://www.gutenberg.org/ebooks/41593" xr:uid="{7E82B88D-3760-41E9-88FB-E8B6D17C8BA5}"/>
    <hyperlink ref="D11" r:id="rId11" display="https://www.gutenberg.org/ebooks/40356" xr:uid="{B18CA6CE-E453-47FD-AB1C-8CB563C5DF29}"/>
    <hyperlink ref="D5" r:id="rId12" display="https://archive.org/details/landofdons00will/page/n19/mode/2up" xr:uid="{EA6D23D9-AE7A-4F62-B7F9-9B45951C5E80}"/>
    <hyperlink ref="D15" r:id="rId13" display="https://www.gutenberg.org/ebooks/40357" xr:uid="{3F2E88B0-DCB1-4C4F-AC5F-A2DA007F700A}"/>
    <hyperlink ref="D12" r:id="rId14" display="https://archive.org/details/spainoftodaynarr00shaw/page/n11/mode/2up" xr:uid="{6997FDA8-316A-4DA2-9719-CD94ACD269FB}"/>
    <hyperlink ref="D14" r:id="rId15" display="https://www.gutenberg.org/ebooks/author/39917" xr:uid="{6FABEA89-7FFC-48AB-9874-29213454BAA3}"/>
  </hyperlinks>
  <pageMargins left="0.7" right="0.7" top="0.75" bottom="0.75" header="0.3" footer="0.3"/>
  <pageSetup paperSize="9" orientation="portrait" r:id="rId1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E9DDDB-8519-4BFA-A1AC-9DD03DAB2A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A8E3-E6BA-400F-BB86-C1363B909757}">
  <dimension ref="A1:CW70"/>
  <sheetViews>
    <sheetView topLeftCell="U1" zoomScale="50" zoomScaleNormal="50" workbookViewId="0">
      <selection activeCell="AX4" sqref="AX4"/>
    </sheetView>
  </sheetViews>
  <sheetFormatPr baseColWidth="10" defaultColWidth="8.88671875" defaultRowHeight="15.6" x14ac:dyDescent="0.3"/>
  <cols>
    <col min="1" max="1" width="79" style="4" customWidth="1"/>
    <col min="2" max="2" width="56.88671875" style="4" customWidth="1"/>
    <col min="3" max="3" width="26.88671875" style="4" customWidth="1"/>
    <col min="4" max="4" width="25.6640625" style="4" customWidth="1"/>
    <col min="5" max="5" width="28.6640625" style="3" customWidth="1"/>
    <col min="6" max="6" width="32.33203125" style="4" customWidth="1"/>
    <col min="7" max="7" width="15.44140625" style="4" customWidth="1"/>
    <col min="8" max="8" width="13.88671875" style="4" customWidth="1"/>
    <col min="9" max="9" width="14.109375" style="4" customWidth="1"/>
    <col min="10" max="10" width="12.88671875" style="4" customWidth="1"/>
    <col min="11" max="11" width="13.5546875" style="4" customWidth="1"/>
    <col min="12" max="12" width="13.109375" style="4" customWidth="1"/>
    <col min="13" max="13" width="14.88671875" style="4" customWidth="1"/>
    <col min="14" max="14" width="14.109375" style="4" customWidth="1"/>
    <col min="15" max="15" width="13.6640625" style="4" customWidth="1"/>
    <col min="16" max="16" width="13.33203125" style="4" customWidth="1"/>
    <col min="17" max="17" width="16.77734375" style="4" customWidth="1"/>
    <col min="18" max="18" width="11.44140625" style="4" customWidth="1"/>
    <col min="19" max="19" width="16" style="4" customWidth="1"/>
    <col min="20" max="20" width="31.77734375" style="4" customWidth="1"/>
    <col min="21" max="21" width="15.109375" style="4" customWidth="1"/>
    <col min="22" max="22" width="15.77734375" style="4" customWidth="1"/>
    <col min="23" max="23" width="14.44140625" style="4" customWidth="1"/>
    <col min="24" max="25" width="14.88671875" style="4" customWidth="1"/>
    <col min="26" max="27" width="14.44140625" style="4" customWidth="1"/>
    <col min="28" max="28" width="14.88671875" style="4" customWidth="1"/>
    <col min="29" max="37" width="14.44140625" style="4" customWidth="1"/>
    <col min="38" max="40" width="10.88671875" style="4" customWidth="1"/>
    <col min="41" max="43" width="12.44140625" style="4" customWidth="1"/>
    <col min="44" max="44" width="11.77734375" style="4" customWidth="1"/>
    <col min="45" max="45" width="12.21875" style="4" customWidth="1"/>
    <col min="46" max="46" width="11.33203125" style="4" customWidth="1"/>
    <col min="47" max="47" width="16.21875" style="4" customWidth="1"/>
    <col min="48" max="48" width="14.6640625" style="4" customWidth="1"/>
    <col min="49" max="49" width="15.77734375" style="4" customWidth="1"/>
    <col min="50" max="50" width="14.88671875" style="4" customWidth="1"/>
    <col min="51" max="51" width="14.6640625" style="4" customWidth="1"/>
    <col min="52" max="52" width="16.6640625" style="4" customWidth="1"/>
    <col min="53" max="55" width="13.33203125" style="4" customWidth="1"/>
    <col min="56" max="56" width="13.5546875" style="4" customWidth="1"/>
    <col min="57" max="57" width="17.5546875" style="4" customWidth="1"/>
    <col min="58" max="58" width="11.33203125" style="4" customWidth="1"/>
    <col min="59" max="59" width="15.5546875" style="4" customWidth="1"/>
    <col min="60" max="60" width="18.6640625" style="4" customWidth="1"/>
    <col min="61" max="16384" width="8.88671875" style="4"/>
  </cols>
  <sheetData>
    <row r="1" spans="1:101" ht="45" customHeight="1" thickTop="1" thickBot="1" x14ac:dyDescent="0.35">
      <c r="A1" s="303" t="s">
        <v>0</v>
      </c>
      <c r="B1" s="303"/>
      <c r="C1" s="303"/>
      <c r="D1" s="304"/>
      <c r="E1" s="305" t="s">
        <v>269</v>
      </c>
      <c r="F1" s="282" t="s">
        <v>38</v>
      </c>
      <c r="G1" s="317" t="s">
        <v>208</v>
      </c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2" t="s">
        <v>38</v>
      </c>
      <c r="U1" s="295" t="s">
        <v>209</v>
      </c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296"/>
      <c r="AG1" s="296"/>
      <c r="AH1" s="296"/>
      <c r="AI1" s="296"/>
      <c r="AJ1" s="296"/>
      <c r="AK1" s="296"/>
      <c r="AL1" s="296"/>
      <c r="AM1" s="296"/>
      <c r="AN1" s="296"/>
      <c r="AO1" s="296"/>
      <c r="AP1" s="296"/>
      <c r="AQ1" s="296"/>
      <c r="AR1" s="296"/>
      <c r="AS1" s="296"/>
      <c r="AT1" s="296"/>
      <c r="AU1" s="296"/>
      <c r="AV1" s="296"/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182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</row>
    <row r="2" spans="1:101" ht="38.4" customHeight="1" thickTop="1" x14ac:dyDescent="0.3">
      <c r="A2" s="308" t="s">
        <v>1</v>
      </c>
      <c r="B2" s="310" t="s">
        <v>2</v>
      </c>
      <c r="C2" s="310" t="s">
        <v>3</v>
      </c>
      <c r="D2" s="312" t="s">
        <v>4</v>
      </c>
      <c r="E2" s="306"/>
      <c r="F2" s="283"/>
      <c r="G2" s="285" t="s">
        <v>272</v>
      </c>
      <c r="H2" s="291"/>
      <c r="I2" s="285" t="s">
        <v>273</v>
      </c>
      <c r="J2" s="286"/>
      <c r="K2" s="286"/>
      <c r="L2" s="291"/>
      <c r="M2" s="285" t="s">
        <v>274</v>
      </c>
      <c r="N2" s="291"/>
      <c r="O2" s="285" t="s">
        <v>275</v>
      </c>
      <c r="P2" s="286"/>
      <c r="Q2" s="291"/>
      <c r="R2" s="285" t="s">
        <v>276</v>
      </c>
      <c r="S2" s="291"/>
      <c r="T2" s="283"/>
      <c r="U2" s="285" t="s">
        <v>221</v>
      </c>
      <c r="V2" s="286"/>
      <c r="W2" s="286"/>
      <c r="X2" s="286"/>
      <c r="Y2" s="286"/>
      <c r="Z2" s="286"/>
      <c r="AA2" s="286"/>
      <c r="AB2" s="286"/>
      <c r="AC2" s="286"/>
      <c r="AD2" s="285" t="s">
        <v>213</v>
      </c>
      <c r="AE2" s="286"/>
      <c r="AF2" s="286"/>
      <c r="AG2" s="286"/>
      <c r="AH2" s="286"/>
      <c r="AI2" s="286"/>
      <c r="AJ2" s="286"/>
      <c r="AK2" s="291"/>
      <c r="AL2" s="285" t="s">
        <v>212</v>
      </c>
      <c r="AM2" s="286"/>
      <c r="AN2" s="286"/>
      <c r="AO2" s="286"/>
      <c r="AP2" s="286"/>
      <c r="AQ2" s="286"/>
      <c r="AR2" s="286"/>
      <c r="AS2" s="286"/>
      <c r="AT2" s="285" t="s">
        <v>270</v>
      </c>
      <c r="AU2" s="286"/>
      <c r="AV2" s="286"/>
      <c r="AW2" s="291"/>
      <c r="AX2" s="285" t="s">
        <v>271</v>
      </c>
      <c r="AY2" s="286"/>
      <c r="AZ2" s="286"/>
      <c r="BA2" s="286"/>
      <c r="BB2" s="286"/>
      <c r="BC2" s="285" t="s">
        <v>229</v>
      </c>
      <c r="BD2" s="286"/>
      <c r="BE2" s="286"/>
      <c r="BF2" s="286"/>
      <c r="BG2" s="291"/>
      <c r="BH2" s="277" t="s">
        <v>235</v>
      </c>
      <c r="BI2" s="18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1:101" ht="37.200000000000003" customHeight="1" thickBot="1" x14ac:dyDescent="0.35">
      <c r="A3" s="309"/>
      <c r="B3" s="311"/>
      <c r="C3" s="311"/>
      <c r="D3" s="313"/>
      <c r="E3" s="307"/>
      <c r="F3" s="284"/>
      <c r="G3" s="21" t="s">
        <v>210</v>
      </c>
      <c r="H3" s="24" t="s">
        <v>245</v>
      </c>
      <c r="I3" s="19" t="s">
        <v>216</v>
      </c>
      <c r="J3" s="17" t="s">
        <v>228</v>
      </c>
      <c r="K3" s="17" t="s">
        <v>249</v>
      </c>
      <c r="L3" s="24" t="s">
        <v>253</v>
      </c>
      <c r="M3" s="16" t="s">
        <v>262</v>
      </c>
      <c r="N3" s="24" t="s">
        <v>222</v>
      </c>
      <c r="O3" s="21" t="s">
        <v>236</v>
      </c>
      <c r="P3" s="18" t="s">
        <v>243</v>
      </c>
      <c r="Q3" s="24" t="s">
        <v>256</v>
      </c>
      <c r="R3" s="184" t="s">
        <v>239</v>
      </c>
      <c r="S3" s="18" t="s">
        <v>250</v>
      </c>
      <c r="T3" s="284"/>
      <c r="U3" s="21" t="s">
        <v>237</v>
      </c>
      <c r="V3" s="20" t="s">
        <v>215</v>
      </c>
      <c r="W3" s="59" t="s">
        <v>219</v>
      </c>
      <c r="X3" s="20" t="s">
        <v>220</v>
      </c>
      <c r="Y3" s="20" t="s">
        <v>251</v>
      </c>
      <c r="Z3" s="20" t="s">
        <v>258</v>
      </c>
      <c r="AA3" s="20" t="s">
        <v>252</v>
      </c>
      <c r="AB3" s="20" t="s">
        <v>247</v>
      </c>
      <c r="AC3" s="20" t="s">
        <v>244</v>
      </c>
      <c r="AD3" s="21" t="s">
        <v>223</v>
      </c>
      <c r="AE3" s="18" t="s">
        <v>224</v>
      </c>
      <c r="AF3" s="20" t="s">
        <v>227</v>
      </c>
      <c r="AG3" s="59" t="s">
        <v>218</v>
      </c>
      <c r="AH3" s="18" t="s">
        <v>234</v>
      </c>
      <c r="AI3" s="59" t="s">
        <v>254</v>
      </c>
      <c r="AJ3" s="18" t="s">
        <v>263</v>
      </c>
      <c r="AK3" s="24" t="s">
        <v>259</v>
      </c>
      <c r="AL3" s="16" t="s">
        <v>211</v>
      </c>
      <c r="AM3" s="18" t="s">
        <v>238</v>
      </c>
      <c r="AN3" s="59" t="s">
        <v>241</v>
      </c>
      <c r="AO3" s="18" t="s">
        <v>214</v>
      </c>
      <c r="AP3" s="18" t="s">
        <v>233</v>
      </c>
      <c r="AQ3" s="18" t="s">
        <v>260</v>
      </c>
      <c r="AR3" s="17" t="s">
        <v>232</v>
      </c>
      <c r="AS3" s="18" t="s">
        <v>261</v>
      </c>
      <c r="AT3" s="19" t="s">
        <v>217</v>
      </c>
      <c r="AU3" s="20" t="s">
        <v>225</v>
      </c>
      <c r="AV3" s="59" t="s">
        <v>226</v>
      </c>
      <c r="AW3" s="18" t="s">
        <v>246</v>
      </c>
      <c r="AX3" s="16" t="s">
        <v>240</v>
      </c>
      <c r="AY3" s="18" t="s">
        <v>242</v>
      </c>
      <c r="AZ3" s="59" t="s">
        <v>264</v>
      </c>
      <c r="BA3" s="18" t="s">
        <v>266</v>
      </c>
      <c r="BB3" s="18" t="s">
        <v>265</v>
      </c>
      <c r="BC3" s="21" t="s">
        <v>257</v>
      </c>
      <c r="BD3" s="17" t="s">
        <v>230</v>
      </c>
      <c r="BE3" s="17" t="s">
        <v>231</v>
      </c>
      <c r="BF3" s="18" t="s">
        <v>248</v>
      </c>
      <c r="BG3" s="24" t="s">
        <v>255</v>
      </c>
      <c r="BH3" s="278"/>
      <c r="BI3" s="182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1:101" ht="38.4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26" t="s">
        <v>277</v>
      </c>
      <c r="F4" s="27"/>
      <c r="G4" s="196">
        <v>32</v>
      </c>
      <c r="H4" s="197"/>
      <c r="I4" s="247">
        <v>7</v>
      </c>
      <c r="J4" s="199">
        <v>1</v>
      </c>
      <c r="K4" s="199"/>
      <c r="L4" s="197"/>
      <c r="M4" s="200"/>
      <c r="N4" s="201">
        <v>3</v>
      </c>
      <c r="O4" s="202"/>
      <c r="P4" s="203"/>
      <c r="Q4" s="204"/>
      <c r="R4" s="205"/>
      <c r="S4" s="203"/>
      <c r="T4" s="27" t="s">
        <v>48</v>
      </c>
      <c r="U4" s="85">
        <v>16</v>
      </c>
      <c r="V4" s="83">
        <v>9</v>
      </c>
      <c r="W4" s="82">
        <v>5</v>
      </c>
      <c r="X4" s="83">
        <v>4</v>
      </c>
      <c r="Y4" s="83"/>
      <c r="Z4" s="83"/>
      <c r="AA4" s="83"/>
      <c r="AB4" s="83"/>
      <c r="AC4" s="83"/>
      <c r="AD4" s="85">
        <v>3</v>
      </c>
      <c r="AE4" s="83">
        <v>3</v>
      </c>
      <c r="AF4" s="83">
        <v>2</v>
      </c>
      <c r="AG4" s="79">
        <v>5</v>
      </c>
      <c r="AH4" s="83">
        <v>1</v>
      </c>
      <c r="AI4" s="82"/>
      <c r="AJ4" s="83"/>
      <c r="AK4" s="127"/>
      <c r="AL4" s="171">
        <v>15</v>
      </c>
      <c r="AM4" s="83"/>
      <c r="AN4" s="82"/>
      <c r="AO4" s="115">
        <v>14</v>
      </c>
      <c r="AP4" s="83">
        <v>1</v>
      </c>
      <c r="AQ4" s="83"/>
      <c r="AR4" s="82">
        <v>1</v>
      </c>
      <c r="AS4" s="83"/>
      <c r="AT4" s="81">
        <v>7</v>
      </c>
      <c r="AU4" s="83">
        <v>2</v>
      </c>
      <c r="AV4" s="82">
        <v>2</v>
      </c>
      <c r="AW4" s="83"/>
      <c r="AX4" s="81"/>
      <c r="AY4" s="83"/>
      <c r="AZ4" s="82"/>
      <c r="BA4" s="83"/>
      <c r="BB4" s="83"/>
      <c r="BC4" s="85"/>
      <c r="BD4" s="82">
        <v>1</v>
      </c>
      <c r="BE4" s="82">
        <v>1</v>
      </c>
      <c r="BF4" s="83"/>
      <c r="BG4" s="127"/>
      <c r="BH4" s="81"/>
      <c r="BI4" s="182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1:101" ht="33" customHeight="1" x14ac:dyDescent="0.5">
      <c r="A5" s="8" t="s">
        <v>8</v>
      </c>
      <c r="B5" s="2" t="s">
        <v>9</v>
      </c>
      <c r="C5" s="1">
        <v>1902</v>
      </c>
      <c r="D5" s="34" t="s">
        <v>10</v>
      </c>
      <c r="E5" s="35" t="s">
        <v>278</v>
      </c>
      <c r="F5" s="36"/>
      <c r="G5" s="206">
        <v>21</v>
      </c>
      <c r="H5" s="207"/>
      <c r="I5" s="208">
        <v>2</v>
      </c>
      <c r="J5" s="209"/>
      <c r="K5" s="209"/>
      <c r="L5" s="207"/>
      <c r="M5" s="208"/>
      <c r="N5" s="207"/>
      <c r="O5" s="210">
        <v>1</v>
      </c>
      <c r="P5" s="211"/>
      <c r="Q5" s="207"/>
      <c r="R5" s="212"/>
      <c r="S5" s="211"/>
      <c r="T5" s="36" t="s">
        <v>49</v>
      </c>
      <c r="U5" s="90">
        <v>2</v>
      </c>
      <c r="V5" s="88">
        <v>4</v>
      </c>
      <c r="W5" s="87">
        <v>2</v>
      </c>
      <c r="X5" s="88"/>
      <c r="Y5" s="88"/>
      <c r="Z5" s="88"/>
      <c r="AA5" s="88"/>
      <c r="AB5" s="88"/>
      <c r="AC5" s="88"/>
      <c r="AD5" s="90">
        <v>1</v>
      </c>
      <c r="AE5" s="88">
        <v>1</v>
      </c>
      <c r="AF5" s="88">
        <v>2</v>
      </c>
      <c r="AG5" s="87"/>
      <c r="AH5" s="88">
        <v>1</v>
      </c>
      <c r="AI5" s="87"/>
      <c r="AJ5" s="88"/>
      <c r="AK5" s="128"/>
      <c r="AL5" s="86"/>
      <c r="AM5" s="88"/>
      <c r="AN5" s="87"/>
      <c r="AO5" s="88">
        <v>2</v>
      </c>
      <c r="AP5" s="88"/>
      <c r="AQ5" s="88"/>
      <c r="AR5" s="87"/>
      <c r="AS5" s="88"/>
      <c r="AT5" s="86">
        <v>1</v>
      </c>
      <c r="AU5" s="88"/>
      <c r="AV5" s="87"/>
      <c r="AW5" s="88"/>
      <c r="AX5" s="86"/>
      <c r="AY5" s="88"/>
      <c r="AZ5" s="87"/>
      <c r="BA5" s="88"/>
      <c r="BB5" s="88"/>
      <c r="BC5" s="90"/>
      <c r="BD5" s="87"/>
      <c r="BE5" s="87"/>
      <c r="BF5" s="88"/>
      <c r="BG5" s="128"/>
      <c r="BH5" s="86">
        <v>2</v>
      </c>
      <c r="BI5" s="182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</row>
    <row r="6" spans="1:101" ht="33" customHeight="1" x14ac:dyDescent="0.5">
      <c r="A6" s="8" t="s">
        <v>11</v>
      </c>
      <c r="B6" s="2" t="s">
        <v>12</v>
      </c>
      <c r="C6" s="1">
        <v>1903</v>
      </c>
      <c r="D6" s="43" t="s">
        <v>7</v>
      </c>
      <c r="E6" s="35" t="s">
        <v>279</v>
      </c>
      <c r="F6" s="36"/>
      <c r="G6" s="210">
        <v>6</v>
      </c>
      <c r="H6" s="207"/>
      <c r="I6" s="208">
        <v>1</v>
      </c>
      <c r="J6" s="209"/>
      <c r="K6" s="209"/>
      <c r="L6" s="207"/>
      <c r="M6" s="208"/>
      <c r="N6" s="207"/>
      <c r="O6" s="210"/>
      <c r="P6" s="211"/>
      <c r="Q6" s="207"/>
      <c r="R6" s="213">
        <v>1</v>
      </c>
      <c r="S6" s="211"/>
      <c r="T6" s="36" t="s">
        <v>45</v>
      </c>
      <c r="U6" s="90">
        <v>14</v>
      </c>
      <c r="V6" s="88">
        <v>10</v>
      </c>
      <c r="W6" s="87"/>
      <c r="X6" s="88"/>
      <c r="Y6" s="88"/>
      <c r="Z6" s="88"/>
      <c r="AA6" s="88"/>
      <c r="AB6" s="88"/>
      <c r="AC6" s="88"/>
      <c r="AD6" s="118">
        <v>5</v>
      </c>
      <c r="AE6" s="88">
        <v>1</v>
      </c>
      <c r="AF6" s="88"/>
      <c r="AG6" s="113">
        <v>6</v>
      </c>
      <c r="AH6" s="88">
        <v>2</v>
      </c>
      <c r="AI6" s="87"/>
      <c r="AJ6" s="88"/>
      <c r="AK6" s="128"/>
      <c r="AL6" s="86"/>
      <c r="AM6" s="88">
        <v>2</v>
      </c>
      <c r="AN6" s="87">
        <v>1</v>
      </c>
      <c r="AO6" s="88"/>
      <c r="AP6" s="88">
        <v>1</v>
      </c>
      <c r="AQ6" s="88"/>
      <c r="AR6" s="87"/>
      <c r="AS6" s="88"/>
      <c r="AT6" s="173">
        <v>17</v>
      </c>
      <c r="AU6" s="88">
        <v>3</v>
      </c>
      <c r="AV6" s="87"/>
      <c r="AW6" s="88"/>
      <c r="AX6" s="86">
        <v>1</v>
      </c>
      <c r="AY6" s="88"/>
      <c r="AZ6" s="87">
        <v>1</v>
      </c>
      <c r="BA6" s="88"/>
      <c r="BB6" s="88"/>
      <c r="BC6" s="90"/>
      <c r="BD6" s="87"/>
      <c r="BE6" s="87"/>
      <c r="BF6" s="88"/>
      <c r="BG6" s="128"/>
      <c r="BH6" s="86">
        <v>1</v>
      </c>
      <c r="BI6" s="182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1:101" ht="33.6" customHeight="1" x14ac:dyDescent="0.5">
      <c r="A7" s="8" t="s">
        <v>13</v>
      </c>
      <c r="B7" s="2" t="s">
        <v>14</v>
      </c>
      <c r="C7" s="1">
        <v>1904</v>
      </c>
      <c r="D7" s="43" t="s">
        <v>15</v>
      </c>
      <c r="E7" s="35" t="s">
        <v>280</v>
      </c>
      <c r="F7" s="36" t="s">
        <v>48</v>
      </c>
      <c r="G7" s="210">
        <v>4</v>
      </c>
      <c r="H7" s="207"/>
      <c r="I7" s="208"/>
      <c r="J7" s="214">
        <v>4</v>
      </c>
      <c r="K7" s="209"/>
      <c r="L7" s="207"/>
      <c r="M7" s="208"/>
      <c r="N7" s="207"/>
      <c r="O7" s="210"/>
      <c r="P7" s="211"/>
      <c r="Q7" s="207"/>
      <c r="R7" s="213"/>
      <c r="S7" s="211"/>
      <c r="T7" s="36" t="s">
        <v>104</v>
      </c>
      <c r="U7" s="90">
        <v>6</v>
      </c>
      <c r="V7" s="88">
        <v>12</v>
      </c>
      <c r="W7" s="87">
        <v>3</v>
      </c>
      <c r="X7" s="88"/>
      <c r="Y7" s="88"/>
      <c r="Z7" s="88"/>
      <c r="AA7" s="88"/>
      <c r="AB7" s="88"/>
      <c r="AC7" s="88"/>
      <c r="AD7" s="90">
        <v>1</v>
      </c>
      <c r="AE7" s="88"/>
      <c r="AF7" s="88"/>
      <c r="AG7" s="87"/>
      <c r="AH7" s="88"/>
      <c r="AI7" s="87"/>
      <c r="AJ7" s="88"/>
      <c r="AK7" s="128"/>
      <c r="AL7" s="86"/>
      <c r="AM7" s="88">
        <v>2</v>
      </c>
      <c r="AN7" s="113">
        <v>8</v>
      </c>
      <c r="AO7" s="88"/>
      <c r="AP7" s="88"/>
      <c r="AQ7" s="88"/>
      <c r="AR7" s="87"/>
      <c r="AS7" s="88"/>
      <c r="AT7" s="143">
        <v>12</v>
      </c>
      <c r="AU7" s="88">
        <v>3</v>
      </c>
      <c r="AV7" s="87"/>
      <c r="AW7" s="88"/>
      <c r="AX7" s="173">
        <v>9</v>
      </c>
      <c r="AY7" s="88">
        <v>2</v>
      </c>
      <c r="AZ7" s="87"/>
      <c r="BA7" s="88"/>
      <c r="BB7" s="88"/>
      <c r="BC7" s="90"/>
      <c r="BD7" s="87"/>
      <c r="BE7" s="87"/>
      <c r="BF7" s="88"/>
      <c r="BG7" s="128"/>
      <c r="BH7" s="86"/>
      <c r="BI7" s="182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1:101" ht="35.4" customHeight="1" thickBot="1" x14ac:dyDescent="0.55000000000000004">
      <c r="A8" s="9" t="s">
        <v>16</v>
      </c>
      <c r="B8" s="10" t="s">
        <v>17</v>
      </c>
      <c r="C8" s="11">
        <v>1905</v>
      </c>
      <c r="D8" s="44" t="s">
        <v>7</v>
      </c>
      <c r="E8" s="67" t="s">
        <v>281</v>
      </c>
      <c r="F8" s="45" t="s">
        <v>46</v>
      </c>
      <c r="G8" s="215">
        <v>17</v>
      </c>
      <c r="H8" s="216">
        <v>2</v>
      </c>
      <c r="I8" s="217">
        <v>1</v>
      </c>
      <c r="J8" s="218"/>
      <c r="K8" s="219">
        <v>5</v>
      </c>
      <c r="L8" s="216"/>
      <c r="M8" s="220"/>
      <c r="N8" s="221"/>
      <c r="O8" s="222"/>
      <c r="P8" s="223">
        <v>4</v>
      </c>
      <c r="Q8" s="221"/>
      <c r="R8" s="224">
        <v>1</v>
      </c>
      <c r="S8" s="225">
        <v>1</v>
      </c>
      <c r="T8" s="45" t="s">
        <v>40</v>
      </c>
      <c r="U8" s="123">
        <v>40</v>
      </c>
      <c r="V8" s="93">
        <v>21</v>
      </c>
      <c r="W8" s="92">
        <v>6</v>
      </c>
      <c r="X8" s="93"/>
      <c r="Y8" s="93"/>
      <c r="Z8" s="93"/>
      <c r="AA8" s="93"/>
      <c r="AB8" s="112">
        <v>2</v>
      </c>
      <c r="AC8" s="112">
        <v>3</v>
      </c>
      <c r="AD8" s="249">
        <v>8</v>
      </c>
      <c r="AE8" s="112">
        <v>14</v>
      </c>
      <c r="AF8" s="108">
        <v>5</v>
      </c>
      <c r="AG8" s="109">
        <v>4</v>
      </c>
      <c r="AH8" s="93">
        <v>2</v>
      </c>
      <c r="AI8" s="92"/>
      <c r="AJ8" s="93"/>
      <c r="AK8" s="129"/>
      <c r="AL8" s="91"/>
      <c r="AM8" s="108">
        <v>4</v>
      </c>
      <c r="AN8" s="92">
        <v>2</v>
      </c>
      <c r="AO8" s="93"/>
      <c r="AP8" s="93"/>
      <c r="AQ8" s="93"/>
      <c r="AR8" s="92"/>
      <c r="AS8" s="93"/>
      <c r="AT8" s="142">
        <v>9</v>
      </c>
      <c r="AU8" s="108">
        <v>6</v>
      </c>
      <c r="AV8" s="92">
        <v>1</v>
      </c>
      <c r="AW8" s="93">
        <v>2</v>
      </c>
      <c r="AX8" s="91">
        <v>3</v>
      </c>
      <c r="AY8" s="93"/>
      <c r="AZ8" s="92">
        <v>1</v>
      </c>
      <c r="BA8" s="93"/>
      <c r="BB8" s="93"/>
      <c r="BC8" s="95"/>
      <c r="BD8" s="92">
        <v>1</v>
      </c>
      <c r="BE8" s="92"/>
      <c r="BF8" s="93">
        <v>1</v>
      </c>
      <c r="BG8" s="129"/>
      <c r="BH8" s="169">
        <v>3</v>
      </c>
      <c r="BI8" s="182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1:101" ht="33" customHeight="1" thickTop="1" x14ac:dyDescent="0.5">
      <c r="A9" s="12" t="s">
        <v>11</v>
      </c>
      <c r="B9" s="13" t="s">
        <v>18</v>
      </c>
      <c r="C9" s="12">
        <v>1908</v>
      </c>
      <c r="D9" s="51" t="s">
        <v>7</v>
      </c>
      <c r="E9" s="35" t="s">
        <v>282</v>
      </c>
      <c r="F9" s="27" t="s">
        <v>42</v>
      </c>
      <c r="G9" s="226">
        <v>15</v>
      </c>
      <c r="H9" s="227"/>
      <c r="I9" s="228">
        <v>2</v>
      </c>
      <c r="J9" s="229"/>
      <c r="K9" s="229"/>
      <c r="L9" s="227">
        <v>1</v>
      </c>
      <c r="M9" s="228"/>
      <c r="N9" s="227">
        <v>2</v>
      </c>
      <c r="O9" s="226"/>
      <c r="P9" s="230"/>
      <c r="Q9" s="227"/>
      <c r="R9" s="231">
        <v>2</v>
      </c>
      <c r="S9" s="230"/>
      <c r="T9" s="27" t="s">
        <v>44</v>
      </c>
      <c r="U9" s="168">
        <v>58</v>
      </c>
      <c r="V9" s="170">
        <v>31</v>
      </c>
      <c r="W9" s="145">
        <v>13</v>
      </c>
      <c r="X9" s="170">
        <v>10</v>
      </c>
      <c r="Y9" s="170">
        <v>14</v>
      </c>
      <c r="Z9" s="98"/>
      <c r="AA9" s="170">
        <v>2</v>
      </c>
      <c r="AB9" s="98"/>
      <c r="AC9" s="98"/>
      <c r="AD9" s="100">
        <v>5</v>
      </c>
      <c r="AE9" s="248">
        <v>9</v>
      </c>
      <c r="AF9" s="170">
        <v>16</v>
      </c>
      <c r="AG9" s="97">
        <v>3</v>
      </c>
      <c r="AH9" s="170">
        <v>6</v>
      </c>
      <c r="AI9" s="97">
        <v>1</v>
      </c>
      <c r="AJ9" s="98"/>
      <c r="AK9" s="130"/>
      <c r="AL9" s="96"/>
      <c r="AM9" s="98">
        <v>1</v>
      </c>
      <c r="AN9" s="145">
        <v>4</v>
      </c>
      <c r="AO9" s="98"/>
      <c r="AP9" s="98"/>
      <c r="AQ9" s="98"/>
      <c r="AR9" s="97"/>
      <c r="AS9" s="98"/>
      <c r="AT9" s="96">
        <v>1</v>
      </c>
      <c r="AU9" s="98"/>
      <c r="AV9" s="97"/>
      <c r="AW9" s="98"/>
      <c r="AX9" s="96"/>
      <c r="AY9" s="98">
        <v>1</v>
      </c>
      <c r="AZ9" s="97"/>
      <c r="BA9" s="98"/>
      <c r="BB9" s="98"/>
      <c r="BC9" s="100"/>
      <c r="BD9" s="97"/>
      <c r="BE9" s="97"/>
      <c r="BF9" s="98"/>
      <c r="BG9" s="130"/>
      <c r="BH9" s="96"/>
      <c r="BI9" s="182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1:101" ht="38.4" customHeight="1" x14ac:dyDescent="0.5">
      <c r="A10" s="1" t="s">
        <v>19</v>
      </c>
      <c r="B10" s="2" t="s">
        <v>20</v>
      </c>
      <c r="C10" s="1">
        <v>1908</v>
      </c>
      <c r="D10" s="43" t="s">
        <v>15</v>
      </c>
      <c r="E10" s="35" t="s">
        <v>283</v>
      </c>
      <c r="F10" s="36" t="s">
        <v>50</v>
      </c>
      <c r="G10" s="210">
        <v>13</v>
      </c>
      <c r="H10" s="232">
        <v>6</v>
      </c>
      <c r="I10" s="208"/>
      <c r="J10" s="233"/>
      <c r="K10" s="233"/>
      <c r="L10" s="207"/>
      <c r="M10" s="208"/>
      <c r="N10" s="207"/>
      <c r="O10" s="210">
        <v>1</v>
      </c>
      <c r="P10" s="211"/>
      <c r="Q10" s="207"/>
      <c r="R10" s="213">
        <v>1</v>
      </c>
      <c r="S10" s="211">
        <v>1</v>
      </c>
      <c r="T10" s="36"/>
      <c r="U10" s="90">
        <v>28</v>
      </c>
      <c r="V10" s="107">
        <v>24</v>
      </c>
      <c r="W10" s="87">
        <v>7</v>
      </c>
      <c r="X10" s="88"/>
      <c r="Y10" s="88"/>
      <c r="Z10" s="88"/>
      <c r="AA10" s="111">
        <v>2</v>
      </c>
      <c r="AB10" s="88"/>
      <c r="AC10" s="88"/>
      <c r="AD10" s="90">
        <v>5</v>
      </c>
      <c r="AE10" s="88">
        <v>2</v>
      </c>
      <c r="AF10" s="88">
        <v>1</v>
      </c>
      <c r="AG10" s="87">
        <v>2</v>
      </c>
      <c r="AH10" s="88">
        <v>2</v>
      </c>
      <c r="AI10" s="87">
        <v>1</v>
      </c>
      <c r="AJ10" s="88"/>
      <c r="AK10" s="128">
        <v>1</v>
      </c>
      <c r="AL10" s="143">
        <v>11</v>
      </c>
      <c r="AM10" s="88"/>
      <c r="AN10" s="87"/>
      <c r="AO10" s="88">
        <v>3</v>
      </c>
      <c r="AP10" s="88">
        <v>1</v>
      </c>
      <c r="AQ10" s="88"/>
      <c r="AR10" s="87">
        <v>1</v>
      </c>
      <c r="AS10" s="88"/>
      <c r="AT10" s="86">
        <v>4</v>
      </c>
      <c r="AU10" s="111">
        <v>8</v>
      </c>
      <c r="AV10" s="87">
        <v>1</v>
      </c>
      <c r="AW10" s="88"/>
      <c r="AX10" s="86">
        <v>3</v>
      </c>
      <c r="AY10" s="88"/>
      <c r="AZ10" s="87"/>
      <c r="BA10" s="88"/>
      <c r="BB10" s="88">
        <v>1</v>
      </c>
      <c r="BC10" s="90"/>
      <c r="BD10" s="87"/>
      <c r="BE10" s="113">
        <v>6</v>
      </c>
      <c r="BF10" s="88"/>
      <c r="BG10" s="128">
        <v>2</v>
      </c>
      <c r="BH10" s="86"/>
      <c r="BI10" s="182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1:101" ht="30" customHeight="1" x14ac:dyDescent="0.5">
      <c r="A11" s="140" t="s">
        <v>21</v>
      </c>
      <c r="B11" s="2" t="s">
        <v>22</v>
      </c>
      <c r="C11" s="1">
        <v>1909</v>
      </c>
      <c r="D11" s="43" t="s">
        <v>7</v>
      </c>
      <c r="E11" s="35" t="s">
        <v>284</v>
      </c>
      <c r="F11" s="36" t="s">
        <v>41</v>
      </c>
      <c r="G11" s="210">
        <v>1</v>
      </c>
      <c r="H11" s="207"/>
      <c r="I11" s="208"/>
      <c r="J11" s="209"/>
      <c r="K11" s="209"/>
      <c r="L11" s="207">
        <v>1</v>
      </c>
      <c r="M11" s="208"/>
      <c r="N11" s="207"/>
      <c r="O11" s="210"/>
      <c r="P11" s="211"/>
      <c r="Q11" s="232">
        <v>2</v>
      </c>
      <c r="R11" s="213"/>
      <c r="S11" s="211"/>
      <c r="T11" s="36" t="s">
        <v>44</v>
      </c>
      <c r="U11" s="90">
        <v>31</v>
      </c>
      <c r="V11" s="88">
        <v>8</v>
      </c>
      <c r="W11" s="113">
        <v>15</v>
      </c>
      <c r="X11" s="88">
        <v>4</v>
      </c>
      <c r="Y11" s="88"/>
      <c r="Z11" s="88"/>
      <c r="AA11" s="88"/>
      <c r="AB11" s="88"/>
      <c r="AC11" s="88"/>
      <c r="AD11" s="90"/>
      <c r="AE11" s="88"/>
      <c r="AF11" s="88"/>
      <c r="AG11" s="87">
        <v>1</v>
      </c>
      <c r="AH11" s="88"/>
      <c r="AI11" s="87"/>
      <c r="AJ11" s="88"/>
      <c r="AK11" s="128"/>
      <c r="AL11" s="86"/>
      <c r="AM11" s="88">
        <v>3</v>
      </c>
      <c r="AN11" s="87">
        <v>2</v>
      </c>
      <c r="AO11" s="88"/>
      <c r="AP11" s="88">
        <v>1</v>
      </c>
      <c r="AQ11" s="88"/>
      <c r="AR11" s="87"/>
      <c r="AS11" s="88"/>
      <c r="AT11" s="86">
        <v>4</v>
      </c>
      <c r="AU11" s="88">
        <v>1</v>
      </c>
      <c r="AV11" s="87"/>
      <c r="AW11" s="88"/>
      <c r="AX11" s="86"/>
      <c r="AY11" s="88"/>
      <c r="AZ11" s="87"/>
      <c r="BA11" s="88"/>
      <c r="BB11" s="88"/>
      <c r="BC11" s="90"/>
      <c r="BD11" s="87"/>
      <c r="BE11" s="87"/>
      <c r="BF11" s="88"/>
      <c r="BG11" s="128"/>
      <c r="BH11" s="86"/>
      <c r="BI11" s="182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1:101" ht="33" customHeight="1" x14ac:dyDescent="0.5">
      <c r="A12" s="1" t="s">
        <v>23</v>
      </c>
      <c r="B12" s="2" t="s">
        <v>24</v>
      </c>
      <c r="C12" s="1">
        <v>1909</v>
      </c>
      <c r="D12" s="43" t="s">
        <v>15</v>
      </c>
      <c r="E12" s="35" t="s">
        <v>285</v>
      </c>
      <c r="F12" s="36" t="s">
        <v>47</v>
      </c>
      <c r="G12" s="210">
        <v>1</v>
      </c>
      <c r="H12" s="207"/>
      <c r="I12" s="208"/>
      <c r="J12" s="209"/>
      <c r="K12" s="209"/>
      <c r="L12" s="207"/>
      <c r="M12" s="208"/>
      <c r="N12" s="207"/>
      <c r="O12" s="210"/>
      <c r="P12" s="211"/>
      <c r="Q12" s="207"/>
      <c r="R12" s="213"/>
      <c r="S12" s="211"/>
      <c r="T12" s="36" t="s">
        <v>40</v>
      </c>
      <c r="U12" s="90">
        <v>21</v>
      </c>
      <c r="V12" s="88">
        <v>8</v>
      </c>
      <c r="W12" s="87">
        <v>3</v>
      </c>
      <c r="X12" s="107">
        <v>5</v>
      </c>
      <c r="Y12" s="88">
        <v>2</v>
      </c>
      <c r="Z12" s="88"/>
      <c r="AA12" s="88"/>
      <c r="AB12" s="88"/>
      <c r="AC12" s="88"/>
      <c r="AD12" s="90"/>
      <c r="AE12" s="88"/>
      <c r="AF12" s="88"/>
      <c r="AG12" s="87"/>
      <c r="AH12" s="88"/>
      <c r="AI12" s="87"/>
      <c r="AJ12" s="88"/>
      <c r="AK12" s="128"/>
      <c r="AL12" s="143">
        <v>8</v>
      </c>
      <c r="AM12" s="88"/>
      <c r="AN12" s="87"/>
      <c r="AO12" s="88">
        <v>2</v>
      </c>
      <c r="AP12" s="88"/>
      <c r="AQ12" s="88"/>
      <c r="AR12" s="87"/>
      <c r="AS12" s="88"/>
      <c r="AT12" s="86">
        <v>1</v>
      </c>
      <c r="AU12" s="88"/>
      <c r="AV12" s="87"/>
      <c r="AW12" s="88"/>
      <c r="AX12" s="86"/>
      <c r="AY12" s="88">
        <v>1</v>
      </c>
      <c r="AZ12" s="87"/>
      <c r="BA12" s="88"/>
      <c r="BB12" s="88"/>
      <c r="BC12" s="90"/>
      <c r="BD12" s="87"/>
      <c r="BE12" s="87"/>
      <c r="BF12" s="88"/>
      <c r="BG12" s="128"/>
      <c r="BH12" s="86"/>
      <c r="BI12" s="18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ht="32.4" customHeight="1" x14ac:dyDescent="0.5">
      <c r="A13" s="1" t="s">
        <v>25</v>
      </c>
      <c r="B13" s="2" t="s">
        <v>26</v>
      </c>
      <c r="C13" s="1">
        <v>1910</v>
      </c>
      <c r="D13" s="43" t="s">
        <v>7</v>
      </c>
      <c r="E13" s="35" t="s">
        <v>286</v>
      </c>
      <c r="F13" s="36" t="s">
        <v>41</v>
      </c>
      <c r="G13" s="210"/>
      <c r="H13" s="207">
        <v>1</v>
      </c>
      <c r="I13" s="208">
        <v>4</v>
      </c>
      <c r="J13" s="209"/>
      <c r="K13" s="209"/>
      <c r="L13" s="207">
        <v>1</v>
      </c>
      <c r="M13" s="208"/>
      <c r="N13" s="207"/>
      <c r="O13" s="210"/>
      <c r="P13" s="211"/>
      <c r="Q13" s="207"/>
      <c r="R13" s="213"/>
      <c r="S13" s="211"/>
      <c r="T13" s="36" t="s">
        <v>39</v>
      </c>
      <c r="U13" s="90">
        <v>5</v>
      </c>
      <c r="V13" s="88">
        <v>3</v>
      </c>
      <c r="W13" s="87">
        <v>3</v>
      </c>
      <c r="X13" s="88">
        <v>3</v>
      </c>
      <c r="Y13" s="88"/>
      <c r="Z13" s="111">
        <v>4</v>
      </c>
      <c r="AA13" s="88"/>
      <c r="AB13" s="88"/>
      <c r="AC13" s="88"/>
      <c r="AD13" s="90">
        <v>3</v>
      </c>
      <c r="AE13" s="88"/>
      <c r="AF13" s="88"/>
      <c r="AG13" s="87"/>
      <c r="AH13" s="88"/>
      <c r="AI13" s="87"/>
      <c r="AJ13" s="88"/>
      <c r="AK13" s="128"/>
      <c r="AL13" s="86"/>
      <c r="AM13" s="88">
        <v>2</v>
      </c>
      <c r="AN13" s="87"/>
      <c r="AO13" s="88"/>
      <c r="AP13" s="88"/>
      <c r="AQ13" s="88"/>
      <c r="AR13" s="87"/>
      <c r="AS13" s="88"/>
      <c r="AT13" s="86"/>
      <c r="AU13" s="88"/>
      <c r="AV13" s="87"/>
      <c r="AW13" s="88"/>
      <c r="AX13" s="86"/>
      <c r="AY13" s="88"/>
      <c r="AZ13" s="87"/>
      <c r="BA13" s="88"/>
      <c r="BB13" s="88"/>
      <c r="BC13" s="124">
        <v>16</v>
      </c>
      <c r="BD13" s="87">
        <v>3</v>
      </c>
      <c r="BE13" s="87"/>
      <c r="BF13" s="111">
        <v>5</v>
      </c>
      <c r="BG13" s="128"/>
      <c r="BH13" s="86">
        <v>2</v>
      </c>
      <c r="BI13" s="182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ht="32.4" customHeight="1" thickBot="1" x14ac:dyDescent="0.55000000000000004">
      <c r="A14" s="14" t="s">
        <v>27</v>
      </c>
      <c r="B14" s="58" t="s">
        <v>28</v>
      </c>
      <c r="C14" s="59">
        <v>1910</v>
      </c>
      <c r="D14" s="60" t="s">
        <v>29</v>
      </c>
      <c r="E14" s="67" t="s">
        <v>287</v>
      </c>
      <c r="F14" s="45" t="s">
        <v>39</v>
      </c>
      <c r="G14" s="234">
        <v>8</v>
      </c>
      <c r="H14" s="235">
        <v>2</v>
      </c>
      <c r="I14" s="236">
        <v>5</v>
      </c>
      <c r="J14" s="237"/>
      <c r="K14" s="237"/>
      <c r="L14" s="235"/>
      <c r="M14" s="236"/>
      <c r="N14" s="235"/>
      <c r="O14" s="234"/>
      <c r="P14" s="238"/>
      <c r="Q14" s="235"/>
      <c r="R14" s="239"/>
      <c r="S14" s="238"/>
      <c r="T14" s="45" t="s">
        <v>41</v>
      </c>
      <c r="U14" s="105">
        <v>11</v>
      </c>
      <c r="V14" s="103"/>
      <c r="W14" s="102">
        <v>3</v>
      </c>
      <c r="X14" s="103">
        <v>4</v>
      </c>
      <c r="Y14" s="103"/>
      <c r="Z14" s="103"/>
      <c r="AA14" s="103"/>
      <c r="AB14" s="103"/>
      <c r="AC14" s="103"/>
      <c r="AD14" s="105">
        <v>2</v>
      </c>
      <c r="AE14" s="103">
        <v>5</v>
      </c>
      <c r="AF14" s="103"/>
      <c r="AG14" s="102"/>
      <c r="AH14" s="103"/>
      <c r="AI14" s="102"/>
      <c r="AJ14" s="103"/>
      <c r="AK14" s="131">
        <v>2</v>
      </c>
      <c r="AL14" s="101">
        <v>1</v>
      </c>
      <c r="AM14" s="103"/>
      <c r="AN14" s="102"/>
      <c r="AO14" s="103">
        <v>1</v>
      </c>
      <c r="AP14" s="103"/>
      <c r="AQ14" s="103"/>
      <c r="AR14" s="102"/>
      <c r="AS14" s="103"/>
      <c r="AT14" s="101">
        <v>1</v>
      </c>
      <c r="AU14" s="103">
        <v>1</v>
      </c>
      <c r="AV14" s="102"/>
      <c r="AW14" s="103"/>
      <c r="AX14" s="101"/>
      <c r="AY14" s="103"/>
      <c r="AZ14" s="102"/>
      <c r="BA14" s="103"/>
      <c r="BB14" s="103"/>
      <c r="BC14" s="105"/>
      <c r="BD14" s="102"/>
      <c r="BE14" s="102"/>
      <c r="BF14" s="103"/>
      <c r="BG14" s="131"/>
      <c r="BH14" s="101"/>
      <c r="BI14" s="182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ht="33.6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35" t="s">
        <v>288</v>
      </c>
      <c r="F15" s="27" t="s">
        <v>41</v>
      </c>
      <c r="G15" s="240">
        <v>6</v>
      </c>
      <c r="H15" s="241">
        <v>4</v>
      </c>
      <c r="I15" s="198">
        <v>6</v>
      </c>
      <c r="J15" s="199">
        <v>3</v>
      </c>
      <c r="K15" s="199"/>
      <c r="L15" s="241">
        <v>2</v>
      </c>
      <c r="M15" s="200"/>
      <c r="N15" s="197"/>
      <c r="O15" s="240"/>
      <c r="P15" s="203"/>
      <c r="Q15" s="197">
        <v>1</v>
      </c>
      <c r="R15" s="205"/>
      <c r="S15" s="203"/>
      <c r="T15" s="27" t="s">
        <v>43</v>
      </c>
      <c r="U15" s="85">
        <v>1</v>
      </c>
      <c r="V15" s="83"/>
      <c r="W15" s="79">
        <v>12</v>
      </c>
      <c r="X15" s="83"/>
      <c r="Y15" s="83"/>
      <c r="Z15" s="83"/>
      <c r="AA15" s="83"/>
      <c r="AB15" s="83"/>
      <c r="AC15" s="83"/>
      <c r="AD15" s="148">
        <v>7</v>
      </c>
      <c r="AE15" s="146">
        <v>6</v>
      </c>
      <c r="AF15" s="146">
        <v>8</v>
      </c>
      <c r="AG15" s="82">
        <v>1</v>
      </c>
      <c r="AH15" s="83"/>
      <c r="AI15" s="82"/>
      <c r="AJ15" s="83"/>
      <c r="AK15" s="127"/>
      <c r="AL15" s="81">
        <v>4</v>
      </c>
      <c r="AM15" s="83"/>
      <c r="AN15" s="82"/>
      <c r="AO15" s="83"/>
      <c r="AP15" s="83"/>
      <c r="AQ15" s="83"/>
      <c r="AR15" s="82"/>
      <c r="AS15" s="83"/>
      <c r="AT15" s="81">
        <v>5</v>
      </c>
      <c r="AU15" s="83">
        <v>3</v>
      </c>
      <c r="AV15" s="82">
        <v>1</v>
      </c>
      <c r="AW15" s="83"/>
      <c r="AX15" s="171">
        <v>9</v>
      </c>
      <c r="AY15" s="83">
        <v>1</v>
      </c>
      <c r="AZ15" s="82"/>
      <c r="BA15" s="83"/>
      <c r="BB15" s="83">
        <v>2</v>
      </c>
      <c r="BC15" s="85">
        <v>2</v>
      </c>
      <c r="BD15" s="82">
        <v>2</v>
      </c>
      <c r="BE15" s="82"/>
      <c r="BF15" s="83">
        <v>2</v>
      </c>
      <c r="BG15" s="127"/>
      <c r="BH15" s="81">
        <v>1</v>
      </c>
      <c r="BI15" s="182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ht="28.2" customHeight="1" x14ac:dyDescent="0.5">
      <c r="A16" s="8" t="s">
        <v>32</v>
      </c>
      <c r="B16" s="2" t="s">
        <v>33</v>
      </c>
      <c r="C16" s="1">
        <v>1912</v>
      </c>
      <c r="D16" s="43" t="s">
        <v>7</v>
      </c>
      <c r="E16" s="35" t="s">
        <v>289</v>
      </c>
      <c r="F16" s="36" t="s">
        <v>40</v>
      </c>
      <c r="G16" s="210">
        <v>8</v>
      </c>
      <c r="H16" s="207"/>
      <c r="I16" s="208">
        <v>1</v>
      </c>
      <c r="J16" s="209"/>
      <c r="K16" s="209"/>
      <c r="L16" s="207"/>
      <c r="M16" s="208"/>
      <c r="N16" s="207"/>
      <c r="O16" s="210"/>
      <c r="P16" s="242"/>
      <c r="Q16" s="207"/>
      <c r="R16" s="213"/>
      <c r="S16" s="211">
        <v>1</v>
      </c>
      <c r="T16" s="36" t="s">
        <v>47</v>
      </c>
      <c r="U16" s="90">
        <v>13</v>
      </c>
      <c r="V16" s="88">
        <v>6</v>
      </c>
      <c r="W16" s="87">
        <v>2</v>
      </c>
      <c r="X16" s="88"/>
      <c r="Y16" s="88"/>
      <c r="Z16" s="88">
        <v>1</v>
      </c>
      <c r="AA16" s="88"/>
      <c r="AB16" s="88"/>
      <c r="AC16" s="88"/>
      <c r="AD16" s="90"/>
      <c r="AE16" s="88">
        <v>1</v>
      </c>
      <c r="AF16" s="88">
        <v>3</v>
      </c>
      <c r="AG16" s="87"/>
      <c r="AH16" s="88"/>
      <c r="AI16" s="87"/>
      <c r="AJ16" s="88"/>
      <c r="AK16" s="128"/>
      <c r="AL16" s="86"/>
      <c r="AM16" s="88">
        <v>2</v>
      </c>
      <c r="AN16" s="87">
        <v>2</v>
      </c>
      <c r="AO16" s="88"/>
      <c r="AP16" s="88">
        <v>1</v>
      </c>
      <c r="AQ16" s="111">
        <v>4</v>
      </c>
      <c r="AR16" s="87"/>
      <c r="AS16" s="88">
        <v>1</v>
      </c>
      <c r="AT16" s="86">
        <v>3</v>
      </c>
      <c r="AU16" s="88">
        <v>1</v>
      </c>
      <c r="AV16" s="87"/>
      <c r="AW16" s="88"/>
      <c r="AX16" s="86"/>
      <c r="AZ16" s="87"/>
      <c r="BA16" s="88"/>
      <c r="BB16" s="88"/>
      <c r="BC16" s="90"/>
      <c r="BD16" s="87"/>
      <c r="BE16" s="87"/>
      <c r="BF16" s="88"/>
      <c r="BG16" s="128"/>
      <c r="BH16" s="86"/>
      <c r="BI16" s="182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 ht="30.6" customHeight="1" x14ac:dyDescent="0.5">
      <c r="A17" s="8" t="s">
        <v>34</v>
      </c>
      <c r="B17" s="2" t="s">
        <v>35</v>
      </c>
      <c r="C17" s="1">
        <v>1913</v>
      </c>
      <c r="D17" s="43" t="s">
        <v>7</v>
      </c>
      <c r="E17" s="35" t="s">
        <v>290</v>
      </c>
      <c r="F17" s="36"/>
      <c r="G17" s="210">
        <v>10</v>
      </c>
      <c r="H17" s="207"/>
      <c r="I17" s="243">
        <v>10</v>
      </c>
      <c r="J17" s="209"/>
      <c r="K17" s="209"/>
      <c r="L17" s="207"/>
      <c r="M17" s="243">
        <v>5</v>
      </c>
      <c r="N17" s="244"/>
      <c r="O17" s="210"/>
      <c r="P17" s="211"/>
      <c r="Q17" s="207"/>
      <c r="R17" s="213"/>
      <c r="S17" s="245">
        <v>7</v>
      </c>
      <c r="T17" s="36" t="s">
        <v>46</v>
      </c>
      <c r="U17" s="118">
        <v>44</v>
      </c>
      <c r="V17" s="107">
        <v>26</v>
      </c>
      <c r="W17" s="87">
        <v>5</v>
      </c>
      <c r="X17" s="107">
        <v>6</v>
      </c>
      <c r="Y17" s="88">
        <v>1</v>
      </c>
      <c r="Z17" s="88"/>
      <c r="AA17" s="88"/>
      <c r="AB17" s="88"/>
      <c r="AC17" s="88"/>
      <c r="AD17" s="118">
        <v>5</v>
      </c>
      <c r="AE17" s="88">
        <v>2</v>
      </c>
      <c r="AF17" s="88">
        <v>4</v>
      </c>
      <c r="AG17" s="87">
        <v>2</v>
      </c>
      <c r="AH17" s="111">
        <v>6</v>
      </c>
      <c r="AI17" s="87"/>
      <c r="AJ17" s="88"/>
      <c r="AK17" s="128"/>
      <c r="AL17" s="86"/>
      <c r="AM17" s="111">
        <v>12</v>
      </c>
      <c r="AN17" s="87">
        <v>1</v>
      </c>
      <c r="AO17" s="88"/>
      <c r="AP17" s="88"/>
      <c r="AQ17" s="88"/>
      <c r="AR17" s="87"/>
      <c r="AS17" s="88"/>
      <c r="AT17" s="86">
        <v>7</v>
      </c>
      <c r="AU17" s="88">
        <v>4</v>
      </c>
      <c r="AV17" s="87"/>
      <c r="AW17" s="88">
        <v>1</v>
      </c>
      <c r="AX17" s="86">
        <v>6</v>
      </c>
      <c r="AY17" s="88">
        <v>1</v>
      </c>
      <c r="AZ17" s="87">
        <v>1</v>
      </c>
      <c r="BA17" s="88"/>
      <c r="BB17" s="88"/>
      <c r="BC17" s="90"/>
      <c r="BD17" s="87">
        <v>1</v>
      </c>
      <c r="BE17" s="87"/>
      <c r="BF17" s="88"/>
      <c r="BG17" s="128"/>
      <c r="BH17" s="86">
        <v>1</v>
      </c>
      <c r="BI17" s="182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ht="36.6" customHeight="1" thickBot="1" x14ac:dyDescent="0.55000000000000004">
      <c r="A18" s="9" t="s">
        <v>36</v>
      </c>
      <c r="B18" s="10" t="s">
        <v>37</v>
      </c>
      <c r="C18" s="11">
        <v>1914</v>
      </c>
      <c r="D18" s="44" t="s">
        <v>15</v>
      </c>
      <c r="E18" s="67" t="s">
        <v>291</v>
      </c>
      <c r="F18" s="68"/>
      <c r="G18" s="222">
        <v>2</v>
      </c>
      <c r="H18" s="221"/>
      <c r="I18" s="217"/>
      <c r="J18" s="218"/>
      <c r="K18" s="218"/>
      <c r="L18" s="221"/>
      <c r="M18" s="217"/>
      <c r="N18" s="221"/>
      <c r="O18" s="222"/>
      <c r="P18" s="246"/>
      <c r="Q18" s="221"/>
      <c r="R18" s="224">
        <v>2</v>
      </c>
      <c r="S18" s="246"/>
      <c r="T18" s="68" t="s">
        <v>44</v>
      </c>
      <c r="U18" s="95">
        <v>28</v>
      </c>
      <c r="V18" s="93">
        <v>7</v>
      </c>
      <c r="W18" s="92">
        <v>6</v>
      </c>
      <c r="X18" s="93"/>
      <c r="Y18" s="93"/>
      <c r="Z18" s="93">
        <v>2</v>
      </c>
      <c r="AA18" s="93"/>
      <c r="AB18" s="93"/>
      <c r="AC18" s="93"/>
      <c r="AD18" s="95">
        <v>1</v>
      </c>
      <c r="AE18" s="93">
        <v>1</v>
      </c>
      <c r="AF18" s="93">
        <v>2</v>
      </c>
      <c r="AG18" s="92">
        <v>1</v>
      </c>
      <c r="AH18" s="93">
        <v>1</v>
      </c>
      <c r="AI18" s="92"/>
      <c r="AJ18" s="93">
        <v>2</v>
      </c>
      <c r="AK18" s="129"/>
      <c r="AL18" s="91"/>
      <c r="AM18" s="93">
        <v>1</v>
      </c>
      <c r="AN18" s="109">
        <v>4</v>
      </c>
      <c r="AO18" s="93"/>
      <c r="AP18" s="93"/>
      <c r="AQ18" s="93"/>
      <c r="AR18" s="92"/>
      <c r="AS18" s="93"/>
      <c r="AT18" s="91">
        <v>2</v>
      </c>
      <c r="AU18" s="93"/>
      <c r="AV18" s="92"/>
      <c r="AW18" s="93"/>
      <c r="AX18" s="91"/>
      <c r="AY18" s="93"/>
      <c r="AZ18" s="92"/>
      <c r="BA18" s="93">
        <v>1</v>
      </c>
      <c r="BB18" s="93"/>
      <c r="BC18" s="95"/>
      <c r="BD18" s="92"/>
      <c r="BE18" s="92"/>
      <c r="BF18" s="93"/>
      <c r="BG18" s="129"/>
      <c r="BH18" s="91"/>
      <c r="BI18" s="182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 ht="51.6" customHeight="1" thickTop="1" thickBot="1" x14ac:dyDescent="0.35">
      <c r="A19" s="297" t="s">
        <v>268</v>
      </c>
      <c r="B19" s="297"/>
      <c r="C19" s="297"/>
      <c r="D19" s="298"/>
      <c r="E19" s="299" t="s">
        <v>52</v>
      </c>
      <c r="F19" s="70" t="s">
        <v>51</v>
      </c>
      <c r="G19" s="71">
        <f t="shared" ref="G19:BH19" si="0">SUM(G4:G18)</f>
        <v>144</v>
      </c>
      <c r="H19" s="75">
        <f t="shared" si="0"/>
        <v>15</v>
      </c>
      <c r="I19" s="76">
        <f t="shared" si="0"/>
        <v>39</v>
      </c>
      <c r="J19" s="72">
        <f t="shared" si="0"/>
        <v>8</v>
      </c>
      <c r="K19" s="72">
        <f t="shared" si="0"/>
        <v>5</v>
      </c>
      <c r="L19" s="75">
        <f t="shared" si="0"/>
        <v>5</v>
      </c>
      <c r="M19" s="71">
        <f t="shared" si="0"/>
        <v>5</v>
      </c>
      <c r="N19" s="75">
        <f t="shared" si="0"/>
        <v>5</v>
      </c>
      <c r="O19" s="71">
        <f t="shared" si="0"/>
        <v>2</v>
      </c>
      <c r="P19" s="72">
        <f t="shared" si="0"/>
        <v>4</v>
      </c>
      <c r="Q19" s="75">
        <f t="shared" si="0"/>
        <v>3</v>
      </c>
      <c r="R19" s="183">
        <f t="shared" si="0"/>
        <v>7</v>
      </c>
      <c r="S19" s="72">
        <f t="shared" si="0"/>
        <v>10</v>
      </c>
      <c r="T19" s="70" t="s">
        <v>51</v>
      </c>
      <c r="U19" s="71">
        <f t="shared" ref="U19:BC19" si="1">SUM(U4:U18)</f>
        <v>318</v>
      </c>
      <c r="V19" s="72">
        <f t="shared" si="1"/>
        <v>169</v>
      </c>
      <c r="W19" s="72">
        <f t="shared" si="1"/>
        <v>85</v>
      </c>
      <c r="X19" s="72">
        <f t="shared" ref="X19:Y19" si="2">SUM(X4:X18)</f>
        <v>36</v>
      </c>
      <c r="Y19" s="72">
        <f t="shared" si="2"/>
        <v>17</v>
      </c>
      <c r="Z19" s="72">
        <f t="shared" si="1"/>
        <v>7</v>
      </c>
      <c r="AA19" s="72">
        <f t="shared" si="1"/>
        <v>4</v>
      </c>
      <c r="AB19" s="72">
        <f t="shared" si="1"/>
        <v>2</v>
      </c>
      <c r="AC19" s="72">
        <f t="shared" si="1"/>
        <v>3</v>
      </c>
      <c r="AD19" s="71">
        <f t="shared" si="1"/>
        <v>46</v>
      </c>
      <c r="AE19" s="72">
        <f t="shared" si="1"/>
        <v>45</v>
      </c>
      <c r="AF19" s="72">
        <f t="shared" si="1"/>
        <v>43</v>
      </c>
      <c r="AG19" s="106">
        <f t="shared" ref="AG19:AH19" si="3">SUM(AG4:AG18)</f>
        <v>25</v>
      </c>
      <c r="AH19" s="72">
        <f t="shared" si="3"/>
        <v>21</v>
      </c>
      <c r="AI19" s="72">
        <f t="shared" ref="AI19:AK19" si="4">SUM(AI4:AI18)</f>
        <v>2</v>
      </c>
      <c r="AJ19" s="72">
        <f t="shared" si="4"/>
        <v>2</v>
      </c>
      <c r="AK19" s="75">
        <f t="shared" si="4"/>
        <v>3</v>
      </c>
      <c r="AL19" s="71">
        <f t="shared" si="1"/>
        <v>39</v>
      </c>
      <c r="AM19" s="72">
        <f t="shared" ref="AM19:AN19" si="5">SUM(AM4:AM18)</f>
        <v>29</v>
      </c>
      <c r="AN19" s="106">
        <f t="shared" si="5"/>
        <v>24</v>
      </c>
      <c r="AO19" s="72">
        <f t="shared" si="1"/>
        <v>22</v>
      </c>
      <c r="AP19" s="72">
        <f t="shared" ref="AP19:AQ19" si="6">SUM(AP4:AP18)</f>
        <v>5</v>
      </c>
      <c r="AQ19" s="72">
        <f t="shared" si="6"/>
        <v>4</v>
      </c>
      <c r="AR19" s="72">
        <f t="shared" si="1"/>
        <v>2</v>
      </c>
      <c r="AS19" s="106">
        <f t="shared" si="1"/>
        <v>1</v>
      </c>
      <c r="AT19" s="71">
        <f t="shared" si="1"/>
        <v>74</v>
      </c>
      <c r="AU19" s="72">
        <f t="shared" si="1"/>
        <v>32</v>
      </c>
      <c r="AV19" s="106">
        <f t="shared" si="1"/>
        <v>5</v>
      </c>
      <c r="AW19" s="72">
        <f t="shared" si="1"/>
        <v>3</v>
      </c>
      <c r="AX19" s="71">
        <f t="shared" si="1"/>
        <v>31</v>
      </c>
      <c r="AY19" s="72">
        <f t="shared" si="1"/>
        <v>6</v>
      </c>
      <c r="AZ19" s="106">
        <f t="shared" si="1"/>
        <v>3</v>
      </c>
      <c r="BA19" s="106">
        <f t="shared" si="1"/>
        <v>1</v>
      </c>
      <c r="BB19" s="72">
        <f t="shared" si="1"/>
        <v>3</v>
      </c>
      <c r="BC19" s="71">
        <f t="shared" si="1"/>
        <v>18</v>
      </c>
      <c r="BD19" s="72">
        <f t="shared" si="0"/>
        <v>8</v>
      </c>
      <c r="BE19" s="72">
        <f t="shared" si="0"/>
        <v>7</v>
      </c>
      <c r="BF19" s="72">
        <f t="shared" si="0"/>
        <v>8</v>
      </c>
      <c r="BG19" s="75">
        <f t="shared" si="0"/>
        <v>2</v>
      </c>
      <c r="BH19" s="279">
        <f t="shared" si="0"/>
        <v>10</v>
      </c>
      <c r="BI19" s="182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1:101" ht="51.6" customHeight="1" thickTop="1" thickBot="1" x14ac:dyDescent="0.35">
      <c r="A20" s="301" t="s">
        <v>267</v>
      </c>
      <c r="B20" s="301"/>
      <c r="C20" s="301"/>
      <c r="D20" s="302"/>
      <c r="E20" s="300"/>
      <c r="F20" s="78" t="s">
        <v>53</v>
      </c>
      <c r="G20" s="287">
        <v>159</v>
      </c>
      <c r="H20" s="289"/>
      <c r="I20" s="287">
        <v>57</v>
      </c>
      <c r="J20" s="288"/>
      <c r="K20" s="288"/>
      <c r="L20" s="289"/>
      <c r="M20" s="287">
        <v>10</v>
      </c>
      <c r="N20" s="289"/>
      <c r="O20" s="287">
        <v>7</v>
      </c>
      <c r="P20" s="288"/>
      <c r="Q20" s="289"/>
      <c r="R20" s="287">
        <v>17</v>
      </c>
      <c r="S20" s="289"/>
      <c r="T20" s="78" t="s">
        <v>53</v>
      </c>
      <c r="U20" s="292">
        <v>641</v>
      </c>
      <c r="V20" s="294"/>
      <c r="W20" s="294"/>
      <c r="X20" s="294"/>
      <c r="Y20" s="294"/>
      <c r="Z20" s="294"/>
      <c r="AA20" s="294"/>
      <c r="AB20" s="294"/>
      <c r="AC20" s="294"/>
      <c r="AD20" s="287">
        <v>187</v>
      </c>
      <c r="AE20" s="288"/>
      <c r="AF20" s="288"/>
      <c r="AG20" s="288"/>
      <c r="AH20" s="288"/>
      <c r="AI20" s="288"/>
      <c r="AJ20" s="288"/>
      <c r="AK20" s="289"/>
      <c r="AL20" s="292">
        <v>126</v>
      </c>
      <c r="AM20" s="294"/>
      <c r="AN20" s="294"/>
      <c r="AO20" s="294"/>
      <c r="AP20" s="294"/>
      <c r="AQ20" s="294"/>
      <c r="AR20" s="294"/>
      <c r="AS20" s="294"/>
      <c r="AT20" s="287">
        <v>114</v>
      </c>
      <c r="AU20" s="288"/>
      <c r="AV20" s="288"/>
      <c r="AW20" s="289"/>
      <c r="AX20" s="292">
        <v>44</v>
      </c>
      <c r="AY20" s="294"/>
      <c r="AZ20" s="294"/>
      <c r="BA20" s="294"/>
      <c r="BB20" s="294"/>
      <c r="BC20" s="287">
        <v>43</v>
      </c>
      <c r="BD20" s="288"/>
      <c r="BE20" s="288"/>
      <c r="BF20" s="288"/>
      <c r="BG20" s="289"/>
      <c r="BH20" s="280"/>
      <c r="BI20" s="182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1:101" ht="15.6" customHeight="1" thickTop="1" x14ac:dyDescent="0.3">
      <c r="A21" s="3"/>
      <c r="B21" s="3"/>
      <c r="C21" s="3"/>
      <c r="D21" s="3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1:101" ht="15.6" customHeight="1" x14ac:dyDescent="0.3">
      <c r="A22" s="3"/>
      <c r="B22" s="3"/>
      <c r="C22" s="3"/>
      <c r="D22" s="3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1:101" ht="15.6" customHeight="1" x14ac:dyDescent="0.3">
      <c r="A23" s="3"/>
      <c r="B23" s="3"/>
      <c r="C23" s="3"/>
      <c r="D23" s="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</row>
    <row r="24" spans="1:101" ht="15.6" customHeight="1" x14ac:dyDescent="0.3">
      <c r="A24" s="3"/>
      <c r="B24" s="3"/>
      <c r="C24" s="3"/>
      <c r="D24" s="3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</row>
    <row r="25" spans="1:101" x14ac:dyDescent="0.3">
      <c r="A25" s="3"/>
      <c r="B25" s="3"/>
      <c r="C25" s="3"/>
      <c r="D25" s="3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1:101" x14ac:dyDescent="0.3">
      <c r="A26" s="3"/>
      <c r="B26" s="3"/>
      <c r="C26" s="3"/>
      <c r="D26" s="3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1:101" x14ac:dyDescent="0.3">
      <c r="A27" s="3"/>
      <c r="B27" s="3"/>
      <c r="C27" s="3"/>
      <c r="D27" s="3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</row>
    <row r="28" spans="1:101" x14ac:dyDescent="0.3">
      <c r="A28" s="3"/>
      <c r="B28" s="3"/>
      <c r="C28" s="3"/>
      <c r="D28" s="3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</row>
    <row r="29" spans="1:101" x14ac:dyDescent="0.3">
      <c r="A29" s="3"/>
      <c r="B29" s="3"/>
      <c r="C29" s="3"/>
      <c r="D29" s="3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</row>
    <row r="30" spans="1:101" x14ac:dyDescent="0.3">
      <c r="A30" s="3"/>
      <c r="B30" s="3"/>
      <c r="C30" s="3"/>
      <c r="D30" s="3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</row>
    <row r="31" spans="1:101" x14ac:dyDescent="0.3">
      <c r="A31" s="3"/>
      <c r="B31" s="3"/>
      <c r="C31" s="3"/>
      <c r="D31" s="3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</row>
    <row r="32" spans="1:101" x14ac:dyDescent="0.3">
      <c r="A32" s="3"/>
      <c r="B32" s="3"/>
      <c r="C32" s="3"/>
      <c r="D32" s="3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</row>
    <row r="33" spans="5:101" x14ac:dyDescent="0.3"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</row>
    <row r="34" spans="5:101" x14ac:dyDescent="0.3"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</row>
    <row r="35" spans="5:101" x14ac:dyDescent="0.3"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</row>
    <row r="36" spans="5:101" x14ac:dyDescent="0.3"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</row>
    <row r="37" spans="5:101" x14ac:dyDescent="0.3"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</row>
    <row r="38" spans="5:101" x14ac:dyDescent="0.3"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</row>
    <row r="39" spans="5:101" x14ac:dyDescent="0.3"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</row>
    <row r="40" spans="5:101" x14ac:dyDescent="0.3"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</row>
    <row r="41" spans="5:101" x14ac:dyDescent="0.3"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</row>
    <row r="42" spans="5:101" x14ac:dyDescent="0.3"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</row>
    <row r="43" spans="5:101" x14ac:dyDescent="0.3"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</row>
    <row r="44" spans="5:101" x14ac:dyDescent="0.3"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</row>
    <row r="45" spans="5:101" x14ac:dyDescent="0.3"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</row>
    <row r="46" spans="5:101" x14ac:dyDescent="0.3"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</row>
    <row r="47" spans="5:101" x14ac:dyDescent="0.3"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</row>
    <row r="48" spans="5:101" x14ac:dyDescent="0.3"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</row>
    <row r="49" spans="5:101" x14ac:dyDescent="0.3"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</row>
    <row r="50" spans="5:101" x14ac:dyDescent="0.3"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</row>
    <row r="51" spans="5:101" x14ac:dyDescent="0.3"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</row>
    <row r="52" spans="5:101" x14ac:dyDescent="0.3"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</row>
    <row r="53" spans="5:101" x14ac:dyDescent="0.3"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</row>
    <row r="54" spans="5:101" x14ac:dyDescent="0.3"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</row>
    <row r="55" spans="5:101" x14ac:dyDescent="0.3"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</row>
    <row r="56" spans="5:101" x14ac:dyDescent="0.3"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</row>
    <row r="57" spans="5:101" x14ac:dyDescent="0.3"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</row>
    <row r="58" spans="5:101" x14ac:dyDescent="0.3"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</row>
    <row r="59" spans="5:101" x14ac:dyDescent="0.3"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</row>
    <row r="60" spans="5:101" x14ac:dyDescent="0.3"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5:101" x14ac:dyDescent="0.3"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5:101" x14ac:dyDescent="0.3"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5:101" x14ac:dyDescent="0.3"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5:101" x14ac:dyDescent="0.3"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5:60" x14ac:dyDescent="0.3"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5:60" x14ac:dyDescent="0.3"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5:60" x14ac:dyDescent="0.3"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5:60" x14ac:dyDescent="0.3"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5:60" x14ac:dyDescent="0.3"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5:60" x14ac:dyDescent="0.3"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</sheetData>
  <mergeCells count="37">
    <mergeCell ref="A19:D19"/>
    <mergeCell ref="E19:E20"/>
    <mergeCell ref="BH19:BH20"/>
    <mergeCell ref="A20:D20"/>
    <mergeCell ref="U20:AC20"/>
    <mergeCell ref="AL20:AS20"/>
    <mergeCell ref="AX20:BB20"/>
    <mergeCell ref="BC20:BG20"/>
    <mergeCell ref="AT20:AW20"/>
    <mergeCell ref="AD20:AK20"/>
    <mergeCell ref="G20:H20"/>
    <mergeCell ref="I20:L20"/>
    <mergeCell ref="M20:N20"/>
    <mergeCell ref="O20:Q20"/>
    <mergeCell ref="BH2:BH3"/>
    <mergeCell ref="AX2:BB2"/>
    <mergeCell ref="BC2:BG2"/>
    <mergeCell ref="AT2:AW2"/>
    <mergeCell ref="AD2:AK2"/>
    <mergeCell ref="G2:H2"/>
    <mergeCell ref="U2:AC2"/>
    <mergeCell ref="T1:T3"/>
    <mergeCell ref="U1:BH1"/>
    <mergeCell ref="AL2:AS2"/>
    <mergeCell ref="R20:S20"/>
    <mergeCell ref="R2:S2"/>
    <mergeCell ref="A1:D1"/>
    <mergeCell ref="E1:E3"/>
    <mergeCell ref="F1:F3"/>
    <mergeCell ref="G1:S1"/>
    <mergeCell ref="A2:A3"/>
    <mergeCell ref="B2:B3"/>
    <mergeCell ref="C2:C3"/>
    <mergeCell ref="D2:D3"/>
    <mergeCell ref="I2:L2"/>
    <mergeCell ref="M2:N2"/>
    <mergeCell ref="O2:Q2"/>
  </mergeCells>
  <conditionalFormatting sqref="A4:A11 A13 A15:A18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{4E1054C9-834C-4EC3-9A3D-BA635F7EE137}</x14:id>
        </ext>
      </extLst>
    </cfRule>
  </conditionalFormatting>
  <hyperlinks>
    <hyperlink ref="D18" r:id="rId1" display="https://archive.org/details/throughspainreco00dickrich/page/n13/mode/2up" xr:uid="{B499F40C-EB11-4819-B9E0-9F2AFB3E69DF}"/>
    <hyperlink ref="D17" r:id="rId2" display="https://www.gutenberg.org/ebooks/7430" xr:uid="{06354224-EB0F-40E4-A845-430A786D5012}"/>
    <hyperlink ref="D16" r:id="rId3" display="https://www.gutenberg.org/ebooks/40201" xr:uid="{8B244390-197A-4FB3-9BCB-F4B373BA2319}"/>
    <hyperlink ref="D10" r:id="rId4" display="https://archive.org/details/sunshadowinspain00elliuoft" xr:uid="{35ACDE2E-8B57-43C5-B7C6-270B5C6B0618}"/>
    <hyperlink ref="D8" r:id="rId5" display="https://www.gutenberg.org/ebooks/27252" xr:uid="{C0A4AEFC-3532-4A0B-A58B-131FE7569DC6}"/>
    <hyperlink ref="D7" r:id="rId6" display="https://archive.org/details/atrampinspain00unkngoog/page/n8/mode/2up" xr:uid="{87400686-CDC4-4CA2-AC92-D39EA2956F8A}"/>
    <hyperlink ref="D6" r:id="rId7" display="https://www.gutenberg.org/ebooks/59944" xr:uid="{673D00B6-781C-4A9C-8D64-E902860B8662}"/>
    <hyperlink ref="D4" r:id="rId8" display="https://www.gutenberg.org/ebooks/38767" xr:uid="{FFD726E4-46C4-43CD-B833-9F08E258812F}"/>
    <hyperlink ref="D9" r:id="rId9" display="https://www.gutenberg.org/ebooks/37944" xr:uid="{C64EBA71-CA22-42F2-8E0C-617AFC3E448C}"/>
    <hyperlink ref="D13" r:id="rId10" display="https://www.gutenberg.org/ebooks/41593" xr:uid="{A162D5A6-DD49-4A91-AD21-8DDE4263452D}"/>
    <hyperlink ref="D11" r:id="rId11" display="https://www.gutenberg.org/ebooks/40356" xr:uid="{40DD2E68-3E9A-4F19-992B-7FAEFF44CF02}"/>
    <hyperlink ref="D5" r:id="rId12" display="https://archive.org/details/landofdons00will/page/n19/mode/2up" xr:uid="{813D0BFF-A8CB-48AD-A793-BA06B9C4F810}"/>
    <hyperlink ref="D15" r:id="rId13" display="https://www.gutenberg.org/ebooks/40357" xr:uid="{FAB794F4-A647-4991-B7DB-580F22300089}"/>
    <hyperlink ref="D12" r:id="rId14" display="https://archive.org/details/spainoftodaynarr00shaw/page/n11/mode/2up" xr:uid="{9EC517E2-41FF-4729-895D-C6BDA82700DD}"/>
    <hyperlink ref="D14" r:id="rId15" display="https://www.gutenberg.org/ebooks/author/39917" xr:uid="{1BDE3C2D-7D71-45E5-9DE5-5171C6054109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1054C9-834C-4EC3-9A3D-BA635F7EE1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79E7-DDCD-45EF-A8ED-4BE8202D6AE8}">
  <dimension ref="A1:CQ24"/>
  <sheetViews>
    <sheetView tabSelected="1" zoomScale="50" zoomScaleNormal="50" workbookViewId="0">
      <selection activeCell="A10" sqref="A10"/>
    </sheetView>
  </sheetViews>
  <sheetFormatPr baseColWidth="10" defaultColWidth="8.88671875" defaultRowHeight="15.6" x14ac:dyDescent="0.3"/>
  <cols>
    <col min="1" max="1" width="73.77734375" style="3" customWidth="1"/>
    <col min="2" max="2" width="90.44140625" style="3" customWidth="1"/>
    <col min="3" max="3" width="8.88671875" style="3"/>
    <col min="4" max="4" width="21.109375" style="3" customWidth="1"/>
    <col min="5" max="5" width="31.77734375" style="3" customWidth="1"/>
    <col min="6" max="6" width="38.88671875" style="3" customWidth="1"/>
    <col min="7" max="10" width="15.5546875" style="3" customWidth="1"/>
    <col min="11" max="20" width="17.109375" style="3" customWidth="1"/>
    <col min="21" max="22" width="18.6640625" style="3" customWidth="1"/>
    <col min="23" max="23" width="32.44140625" style="3" customWidth="1"/>
    <col min="24" max="24" width="18" style="3" customWidth="1"/>
    <col min="25" max="25" width="12" style="3" customWidth="1"/>
    <col min="26" max="26" width="13.77734375" style="3" customWidth="1"/>
    <col min="27" max="27" width="11.109375" style="3" customWidth="1"/>
    <col min="28" max="28" width="10.44140625" style="3" customWidth="1"/>
    <col min="29" max="29" width="12" style="3" customWidth="1"/>
    <col min="30" max="30" width="13.77734375" style="3" customWidth="1"/>
    <col min="31" max="31" width="16.88671875" style="3" customWidth="1"/>
    <col min="32" max="32" width="14.6640625" style="3" customWidth="1"/>
    <col min="33" max="33" width="14.21875" style="3" customWidth="1"/>
    <col min="34" max="34" width="16.6640625" style="3" customWidth="1"/>
    <col min="35" max="35" width="14.44140625" style="3" customWidth="1"/>
    <col min="36" max="36" width="15.109375" style="3" customWidth="1"/>
    <col min="37" max="37" width="15.5546875" style="3" customWidth="1"/>
    <col min="38" max="38" width="14.6640625" style="3" customWidth="1"/>
    <col min="39" max="39" width="16.6640625" style="3" customWidth="1"/>
    <col min="40" max="40" width="16.44140625" style="3" customWidth="1"/>
    <col min="41" max="41" width="14.6640625" style="3" customWidth="1"/>
    <col min="42" max="42" width="18.88671875" style="3" customWidth="1"/>
    <col min="43" max="43" width="19.33203125" style="3" customWidth="1"/>
    <col min="44" max="44" width="14" style="3" customWidth="1"/>
    <col min="45" max="45" width="16" style="3" customWidth="1"/>
    <col min="46" max="46" width="15.109375" style="3" customWidth="1"/>
    <col min="47" max="47" width="17.33203125" style="3" customWidth="1"/>
    <col min="48" max="48" width="40" style="3" customWidth="1"/>
    <col min="49" max="49" width="18.88671875" style="3" customWidth="1"/>
    <col min="50" max="50" width="16.6640625" style="3" customWidth="1"/>
    <col min="51" max="51" width="15.33203125" style="3" customWidth="1"/>
    <col min="52" max="52" width="17.77734375" style="3" customWidth="1"/>
    <col min="53" max="53" width="16.6640625" style="3" customWidth="1"/>
    <col min="54" max="54" width="19.109375" style="3" customWidth="1"/>
    <col min="55" max="55" width="16" style="3" customWidth="1"/>
    <col min="56" max="56" width="22.6640625" style="3" customWidth="1"/>
    <col min="57" max="57" width="18.88671875" style="3" customWidth="1"/>
    <col min="58" max="58" width="16.21875" style="3" customWidth="1"/>
    <col min="59" max="59" width="15.109375" style="3" customWidth="1"/>
    <col min="60" max="60" width="19.109375" style="339" customWidth="1"/>
    <col min="61" max="61" width="15.77734375" style="3" customWidth="1"/>
    <col min="62" max="62" width="42.44140625" style="3" customWidth="1"/>
    <col min="63" max="63" width="18.88671875" style="3" customWidth="1"/>
    <col min="64" max="64" width="17.33203125" style="3" customWidth="1"/>
    <col min="65" max="65" width="20.44140625" style="3" customWidth="1"/>
    <col min="66" max="66" width="21.5546875" style="3" customWidth="1"/>
    <col min="67" max="67" width="14.6640625" style="3" customWidth="1"/>
    <col min="68" max="68" width="16" style="3" customWidth="1"/>
    <col min="69" max="69" width="16.6640625" style="3" customWidth="1"/>
    <col min="70" max="70" width="8.88671875" style="3"/>
    <col min="71" max="71" width="12" style="3" customWidth="1"/>
    <col min="72" max="16384" width="8.88671875" style="3"/>
  </cols>
  <sheetData>
    <row r="1" spans="1:95" ht="46.2" customHeight="1" thickTop="1" thickBot="1" x14ac:dyDescent="0.35">
      <c r="A1" s="303" t="s">
        <v>0</v>
      </c>
      <c r="B1" s="303"/>
      <c r="C1" s="303"/>
      <c r="D1" s="304"/>
      <c r="E1" s="305" t="s">
        <v>458</v>
      </c>
      <c r="F1" s="282" t="s">
        <v>38</v>
      </c>
      <c r="G1" s="281" t="s">
        <v>364</v>
      </c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2" t="s">
        <v>38</v>
      </c>
      <c r="X1" s="323" t="s">
        <v>468</v>
      </c>
      <c r="Y1" s="328"/>
      <c r="Z1" s="328"/>
      <c r="AA1" s="328"/>
      <c r="AB1" s="328"/>
      <c r="AC1" s="328"/>
      <c r="AD1" s="328"/>
      <c r="AE1" s="328"/>
      <c r="AF1" s="328"/>
      <c r="AG1" s="328"/>
      <c r="AH1" s="328"/>
      <c r="AI1" s="328"/>
      <c r="AJ1" s="328"/>
      <c r="AK1" s="328"/>
      <c r="AL1" s="328"/>
      <c r="AM1" s="328"/>
      <c r="AN1" s="328"/>
      <c r="AO1" s="328"/>
      <c r="AP1" s="328"/>
      <c r="AQ1" s="328"/>
      <c r="AR1" s="328"/>
      <c r="AS1" s="328"/>
      <c r="AT1" s="328"/>
      <c r="AU1" s="328"/>
      <c r="AV1" s="282" t="s">
        <v>38</v>
      </c>
      <c r="AW1" s="296"/>
      <c r="AX1" s="296"/>
      <c r="AY1" s="296"/>
      <c r="AZ1" s="296"/>
      <c r="BA1" s="296"/>
      <c r="BB1" s="296"/>
      <c r="BC1" s="296"/>
      <c r="BD1" s="296"/>
      <c r="BE1" s="296"/>
      <c r="BF1" s="296"/>
      <c r="BG1" s="296"/>
      <c r="BH1" s="296"/>
      <c r="BI1" s="296"/>
      <c r="BJ1" s="282" t="s">
        <v>38</v>
      </c>
      <c r="BK1" s="295" t="s">
        <v>391</v>
      </c>
      <c r="BL1" s="296"/>
      <c r="BM1" s="296"/>
      <c r="BN1" s="296"/>
      <c r="BO1" s="296"/>
      <c r="BP1" s="296"/>
      <c r="BQ1" s="296"/>
      <c r="BR1" s="296"/>
      <c r="BS1" s="296"/>
      <c r="BT1"/>
      <c r="BU1"/>
      <c r="BV1"/>
      <c r="BW1"/>
      <c r="BX1"/>
      <c r="BY1"/>
      <c r="BZ1"/>
      <c r="CA1"/>
      <c r="CB1"/>
    </row>
    <row r="2" spans="1:95" ht="57.6" customHeight="1" thickTop="1" x14ac:dyDescent="0.3">
      <c r="A2" s="308" t="s">
        <v>1</v>
      </c>
      <c r="B2" s="310" t="s">
        <v>2</v>
      </c>
      <c r="C2" s="310" t="s">
        <v>3</v>
      </c>
      <c r="D2" s="312" t="s">
        <v>4</v>
      </c>
      <c r="E2" s="306"/>
      <c r="F2" s="283"/>
      <c r="G2" s="285" t="s">
        <v>461</v>
      </c>
      <c r="H2" s="286"/>
      <c r="I2" s="286"/>
      <c r="J2" s="286"/>
      <c r="K2" s="286"/>
      <c r="L2" s="286"/>
      <c r="M2" s="286"/>
      <c r="N2" s="285" t="s">
        <v>465</v>
      </c>
      <c r="O2" s="291"/>
      <c r="P2" s="277" t="s">
        <v>464</v>
      </c>
      <c r="Q2" s="285" t="s">
        <v>462</v>
      </c>
      <c r="R2" s="286"/>
      <c r="S2" s="285" t="s">
        <v>463</v>
      </c>
      <c r="T2" s="286"/>
      <c r="U2" s="277" t="s">
        <v>466</v>
      </c>
      <c r="V2" s="277" t="s">
        <v>467</v>
      </c>
      <c r="W2" s="283"/>
      <c r="X2" s="336" t="s">
        <v>469</v>
      </c>
      <c r="Y2" s="337"/>
      <c r="Z2" s="336" t="s">
        <v>470</v>
      </c>
      <c r="AA2" s="338"/>
      <c r="AB2" s="338"/>
      <c r="AC2" s="337"/>
      <c r="AD2" s="285" t="s">
        <v>471</v>
      </c>
      <c r="AE2" s="291"/>
      <c r="AF2" s="285" t="s">
        <v>472</v>
      </c>
      <c r="AG2" s="286"/>
      <c r="AH2" s="286"/>
      <c r="AI2" s="291"/>
      <c r="AJ2" s="285" t="s">
        <v>473</v>
      </c>
      <c r="AK2" s="291"/>
      <c r="AL2" s="285" t="s">
        <v>474</v>
      </c>
      <c r="AM2" s="291"/>
      <c r="AN2" s="285" t="s">
        <v>475</v>
      </c>
      <c r="AO2" s="291"/>
      <c r="AP2" s="277" t="s">
        <v>476</v>
      </c>
      <c r="AQ2" s="277" t="s">
        <v>477</v>
      </c>
      <c r="AR2" s="285" t="s">
        <v>478</v>
      </c>
      <c r="AS2" s="291"/>
      <c r="AT2" s="277" t="s">
        <v>479</v>
      </c>
      <c r="AU2" s="277" t="s">
        <v>480</v>
      </c>
      <c r="AV2" s="283"/>
      <c r="AW2" s="285" t="s">
        <v>481</v>
      </c>
      <c r="AX2" s="291"/>
      <c r="AY2" s="285" t="s">
        <v>482</v>
      </c>
      <c r="AZ2" s="291"/>
      <c r="BA2" s="285" t="s">
        <v>483</v>
      </c>
      <c r="BB2" s="286"/>
      <c r="BC2" s="291"/>
      <c r="BD2" s="277" t="s">
        <v>485</v>
      </c>
      <c r="BE2" s="285" t="s">
        <v>484</v>
      </c>
      <c r="BF2" s="291"/>
      <c r="BG2" s="277" t="s">
        <v>486</v>
      </c>
      <c r="BH2" s="277" t="s">
        <v>487</v>
      </c>
      <c r="BI2" s="277" t="s">
        <v>488</v>
      </c>
      <c r="BJ2" s="283"/>
      <c r="BK2" s="285" t="s">
        <v>489</v>
      </c>
      <c r="BL2" s="291"/>
      <c r="BM2" s="285" t="s">
        <v>491</v>
      </c>
      <c r="BN2" s="291"/>
      <c r="BO2" s="285" t="s">
        <v>490</v>
      </c>
      <c r="BP2" s="291"/>
      <c r="BQ2" s="277" t="s">
        <v>492</v>
      </c>
      <c r="BR2" s="285" t="s">
        <v>493</v>
      </c>
      <c r="BS2" s="291"/>
      <c r="BT2"/>
      <c r="BU2"/>
      <c r="BV2"/>
      <c r="BW2"/>
      <c r="BX2"/>
      <c r="BY2"/>
      <c r="BZ2"/>
      <c r="CA2"/>
      <c r="CB2"/>
    </row>
    <row r="3" spans="1:95" ht="36" customHeight="1" thickBot="1" x14ac:dyDescent="0.35">
      <c r="A3" s="309"/>
      <c r="B3" s="311"/>
      <c r="C3" s="311"/>
      <c r="D3" s="313"/>
      <c r="E3" s="307"/>
      <c r="F3" s="284"/>
      <c r="G3" s="19" t="s">
        <v>396</v>
      </c>
      <c r="H3" s="17" t="s">
        <v>397</v>
      </c>
      <c r="I3" s="17" t="s">
        <v>412</v>
      </c>
      <c r="J3" s="23" t="s">
        <v>417</v>
      </c>
      <c r="K3" s="17" t="s">
        <v>428</v>
      </c>
      <c r="L3" s="17" t="s">
        <v>427</v>
      </c>
      <c r="M3" s="18" t="s">
        <v>452</v>
      </c>
      <c r="N3" s="21" t="s">
        <v>408</v>
      </c>
      <c r="O3" s="22" t="s">
        <v>409</v>
      </c>
      <c r="P3" s="290"/>
      <c r="Q3" s="16" t="s">
        <v>423</v>
      </c>
      <c r="R3" s="18" t="s">
        <v>424</v>
      </c>
      <c r="S3" s="16" t="s">
        <v>426</v>
      </c>
      <c r="T3" s="18" t="s">
        <v>425</v>
      </c>
      <c r="U3" s="278"/>
      <c r="V3" s="278"/>
      <c r="W3" s="284"/>
      <c r="X3" s="21" t="s">
        <v>404</v>
      </c>
      <c r="Y3" s="22" t="s">
        <v>445</v>
      </c>
      <c r="Z3" s="21" t="s">
        <v>395</v>
      </c>
      <c r="AA3" s="20" t="s">
        <v>394</v>
      </c>
      <c r="AB3" s="59" t="s">
        <v>422</v>
      </c>
      <c r="AC3" s="24" t="s">
        <v>421</v>
      </c>
      <c r="AD3" s="21" t="s">
        <v>401</v>
      </c>
      <c r="AE3" s="24" t="s">
        <v>410</v>
      </c>
      <c r="AF3" s="21" t="s">
        <v>454</v>
      </c>
      <c r="AG3" s="18" t="s">
        <v>436</v>
      </c>
      <c r="AH3" s="18" t="s">
        <v>416</v>
      </c>
      <c r="AI3" s="24" t="s">
        <v>429</v>
      </c>
      <c r="AJ3" s="21" t="s">
        <v>399</v>
      </c>
      <c r="AK3" s="22" t="s">
        <v>420</v>
      </c>
      <c r="AL3" s="21" t="s">
        <v>437</v>
      </c>
      <c r="AM3" s="22" t="s">
        <v>418</v>
      </c>
      <c r="AN3" s="21" t="s">
        <v>411</v>
      </c>
      <c r="AO3" s="22" t="s">
        <v>430</v>
      </c>
      <c r="AP3" s="278"/>
      <c r="AQ3" s="278"/>
      <c r="AR3" s="184" t="s">
        <v>419</v>
      </c>
      <c r="AS3" s="22" t="s">
        <v>438</v>
      </c>
      <c r="AT3" s="278"/>
      <c r="AU3" s="278"/>
      <c r="AV3" s="284"/>
      <c r="AW3" s="20" t="s">
        <v>447</v>
      </c>
      <c r="AX3" s="20" t="s">
        <v>393</v>
      </c>
      <c r="AY3" s="116" t="s">
        <v>402</v>
      </c>
      <c r="AZ3" s="20" t="s">
        <v>407</v>
      </c>
      <c r="BA3" s="21" t="s">
        <v>398</v>
      </c>
      <c r="BB3" s="20" t="s">
        <v>403</v>
      </c>
      <c r="BC3" s="22" t="s">
        <v>406</v>
      </c>
      <c r="BD3" s="278"/>
      <c r="BE3" s="116" t="s">
        <v>400</v>
      </c>
      <c r="BF3" s="20" t="s">
        <v>405</v>
      </c>
      <c r="BG3" s="278"/>
      <c r="BH3" s="278"/>
      <c r="BI3" s="278"/>
      <c r="BJ3" s="284"/>
      <c r="BK3" s="116" t="s">
        <v>414</v>
      </c>
      <c r="BL3" s="22" t="s">
        <v>441</v>
      </c>
      <c r="BM3" s="21" t="s">
        <v>435</v>
      </c>
      <c r="BN3" s="331" t="s">
        <v>413</v>
      </c>
      <c r="BO3" s="116" t="s">
        <v>448</v>
      </c>
      <c r="BP3" s="22" t="s">
        <v>433</v>
      </c>
      <c r="BQ3" s="278"/>
      <c r="BR3" s="116" t="s">
        <v>440</v>
      </c>
      <c r="BS3" s="24" t="s">
        <v>450</v>
      </c>
      <c r="BT3"/>
      <c r="BU3"/>
      <c r="BV3"/>
      <c r="BW3"/>
      <c r="BX3"/>
      <c r="BY3"/>
      <c r="BZ3"/>
      <c r="CA3"/>
      <c r="CB3"/>
    </row>
    <row r="4" spans="1:95" ht="33" customHeight="1" thickTop="1" x14ac:dyDescent="0.5">
      <c r="A4" s="5" t="s">
        <v>5</v>
      </c>
      <c r="B4" s="6" t="s">
        <v>6</v>
      </c>
      <c r="C4" s="7">
        <v>1900</v>
      </c>
      <c r="D4" s="25" t="s">
        <v>7</v>
      </c>
      <c r="E4" s="26" t="s">
        <v>415</v>
      </c>
      <c r="F4" s="27"/>
      <c r="G4" s="141">
        <v>10</v>
      </c>
      <c r="H4" s="80">
        <v>10</v>
      </c>
      <c r="I4" s="82">
        <v>1</v>
      </c>
      <c r="J4" s="250"/>
      <c r="K4" s="82"/>
      <c r="L4" s="82"/>
      <c r="M4" s="83"/>
      <c r="N4" s="85">
        <v>3</v>
      </c>
      <c r="O4" s="127">
        <v>2</v>
      </c>
      <c r="P4" s="252">
        <v>4</v>
      </c>
      <c r="Q4" s="81"/>
      <c r="R4" s="83"/>
      <c r="S4" s="81"/>
      <c r="T4" s="83"/>
      <c r="U4" s="252"/>
      <c r="V4" s="252"/>
      <c r="W4" s="27"/>
      <c r="X4" s="85">
        <v>4</v>
      </c>
      <c r="Y4" s="127"/>
      <c r="Z4" s="179">
        <v>10</v>
      </c>
      <c r="AA4" s="115">
        <v>10</v>
      </c>
      <c r="AB4" s="82"/>
      <c r="AC4" s="127"/>
      <c r="AD4" s="179">
        <v>6</v>
      </c>
      <c r="AE4" s="127">
        <v>2</v>
      </c>
      <c r="AF4" s="85"/>
      <c r="AG4" s="83"/>
      <c r="AH4" s="83"/>
      <c r="AI4" s="127"/>
      <c r="AJ4" s="179">
        <v>7</v>
      </c>
      <c r="AK4" s="127"/>
      <c r="AL4" s="85"/>
      <c r="AM4" s="127"/>
      <c r="AN4" s="85">
        <v>1</v>
      </c>
      <c r="AO4" s="127"/>
      <c r="AP4" s="185"/>
      <c r="AQ4" s="252"/>
      <c r="AR4" s="185"/>
      <c r="AS4" s="127"/>
      <c r="AT4" s="252"/>
      <c r="AU4" s="185"/>
      <c r="AV4" s="27"/>
      <c r="AW4" s="115">
        <v>26</v>
      </c>
      <c r="AX4" s="115">
        <v>12</v>
      </c>
      <c r="AY4" s="148">
        <v>6</v>
      </c>
      <c r="AZ4" s="83">
        <v>3</v>
      </c>
      <c r="BA4" s="179">
        <v>9</v>
      </c>
      <c r="BB4" s="146">
        <v>5</v>
      </c>
      <c r="BC4" s="262">
        <v>3</v>
      </c>
      <c r="BD4" s="179">
        <v>4</v>
      </c>
      <c r="BE4" s="179">
        <v>7</v>
      </c>
      <c r="BF4" s="115">
        <v>4</v>
      </c>
      <c r="BG4" s="85">
        <v>1</v>
      </c>
      <c r="BH4" s="85"/>
      <c r="BI4" s="252"/>
      <c r="BJ4" s="27"/>
      <c r="BK4" s="85">
        <v>1</v>
      </c>
      <c r="BL4" s="127"/>
      <c r="BM4" s="85"/>
      <c r="BN4" s="252">
        <v>1</v>
      </c>
      <c r="BO4" s="85"/>
      <c r="BP4" s="127"/>
      <c r="BQ4" s="185"/>
      <c r="BR4" s="85"/>
      <c r="BS4" s="127"/>
      <c r="BT4"/>
      <c r="BU4"/>
      <c r="BV4"/>
      <c r="BW4"/>
      <c r="BX4"/>
      <c r="BY4"/>
      <c r="BZ4"/>
      <c r="CA4"/>
      <c r="CB4"/>
    </row>
    <row r="5" spans="1:95" ht="33.6" customHeight="1" x14ac:dyDescent="0.5">
      <c r="A5" s="8" t="s">
        <v>8</v>
      </c>
      <c r="B5" s="2" t="s">
        <v>9</v>
      </c>
      <c r="C5" s="1">
        <v>1902</v>
      </c>
      <c r="D5" s="34" t="s">
        <v>10</v>
      </c>
      <c r="E5" s="35" t="s">
        <v>431</v>
      </c>
      <c r="F5" s="36" t="s">
        <v>50</v>
      </c>
      <c r="G5" s="86"/>
      <c r="H5" s="87"/>
      <c r="I5" s="87"/>
      <c r="J5" s="125">
        <v>7</v>
      </c>
      <c r="K5" s="87">
        <v>1</v>
      </c>
      <c r="L5" s="87">
        <v>1</v>
      </c>
      <c r="M5" s="88"/>
      <c r="N5" s="90">
        <v>2</v>
      </c>
      <c r="O5" s="128">
        <v>1</v>
      </c>
      <c r="P5" s="269">
        <v>7</v>
      </c>
      <c r="Q5" s="86"/>
      <c r="R5" s="88">
        <v>1</v>
      </c>
      <c r="S5" s="86">
        <v>1</v>
      </c>
      <c r="T5" s="88"/>
      <c r="U5" s="253">
        <v>1</v>
      </c>
      <c r="V5" s="253"/>
      <c r="W5" s="36"/>
      <c r="X5" s="90">
        <v>2</v>
      </c>
      <c r="Y5" s="128"/>
      <c r="Z5" s="90">
        <v>6</v>
      </c>
      <c r="AA5" s="88"/>
      <c r="AB5" s="87">
        <v>1</v>
      </c>
      <c r="AC5" s="128">
        <v>1</v>
      </c>
      <c r="AD5" s="90"/>
      <c r="AE5" s="128"/>
      <c r="AF5" s="90"/>
      <c r="AG5" s="88"/>
      <c r="AH5" s="111">
        <v>7</v>
      </c>
      <c r="AI5" s="271">
        <v>3</v>
      </c>
      <c r="AJ5" s="124">
        <v>4</v>
      </c>
      <c r="AK5" s="128">
        <v>1</v>
      </c>
      <c r="AL5" s="90"/>
      <c r="AM5" s="128">
        <v>1</v>
      </c>
      <c r="AN5" s="124">
        <v>4</v>
      </c>
      <c r="AO5" s="271">
        <v>3</v>
      </c>
      <c r="AP5" s="273">
        <v>3</v>
      </c>
      <c r="AQ5" s="269">
        <v>2</v>
      </c>
      <c r="AR5" s="264">
        <v>1</v>
      </c>
      <c r="AS5" s="128"/>
      <c r="AT5" s="267">
        <v>1</v>
      </c>
      <c r="AU5" s="186"/>
      <c r="AV5" s="36"/>
      <c r="AW5" s="88"/>
      <c r="AX5" s="88">
        <v>1</v>
      </c>
      <c r="AY5" s="90"/>
      <c r="AZ5" s="88"/>
      <c r="BA5" s="90"/>
      <c r="BB5" s="88"/>
      <c r="BC5" s="128"/>
      <c r="BD5" s="90"/>
      <c r="BE5" s="90"/>
      <c r="BF5" s="88"/>
      <c r="BG5" s="90"/>
      <c r="BH5" s="90"/>
      <c r="BI5" s="253"/>
      <c r="BJ5" s="36"/>
      <c r="BK5" s="90">
        <v>2</v>
      </c>
      <c r="BL5" s="128"/>
      <c r="BM5" s="90"/>
      <c r="BN5" s="253"/>
      <c r="BO5" s="90"/>
      <c r="BP5" s="128"/>
      <c r="BQ5" s="186"/>
      <c r="BR5" s="90"/>
      <c r="BS5" s="128"/>
      <c r="BT5"/>
      <c r="BU5"/>
      <c r="BV5"/>
      <c r="BW5"/>
      <c r="BX5"/>
      <c r="BY5"/>
      <c r="BZ5"/>
      <c r="CA5"/>
      <c r="CB5"/>
    </row>
    <row r="6" spans="1:95" ht="30.6" customHeight="1" x14ac:dyDescent="0.5">
      <c r="A6" s="8" t="s">
        <v>11</v>
      </c>
      <c r="B6" s="2" t="s">
        <v>12</v>
      </c>
      <c r="C6" s="1">
        <v>1903</v>
      </c>
      <c r="D6" s="43" t="s">
        <v>7</v>
      </c>
      <c r="E6" s="35" t="s">
        <v>432</v>
      </c>
      <c r="F6" s="36" t="s">
        <v>40</v>
      </c>
      <c r="G6" s="86"/>
      <c r="H6" s="87"/>
      <c r="I6" s="87">
        <v>1</v>
      </c>
      <c r="J6" s="89"/>
      <c r="K6" s="87"/>
      <c r="L6" s="87"/>
      <c r="M6" s="88"/>
      <c r="N6" s="90">
        <v>1</v>
      </c>
      <c r="O6" s="128"/>
      <c r="P6" s="253">
        <v>1</v>
      </c>
      <c r="Q6" s="90"/>
      <c r="R6" s="128"/>
      <c r="S6" s="86"/>
      <c r="T6" s="88"/>
      <c r="U6" s="253"/>
      <c r="V6" s="253"/>
      <c r="W6" s="36"/>
      <c r="X6" s="90">
        <v>5</v>
      </c>
      <c r="Y6" s="128"/>
      <c r="Z6" s="90">
        <v>4</v>
      </c>
      <c r="AA6" s="88"/>
      <c r="AB6" s="87"/>
      <c r="AC6" s="128"/>
      <c r="AD6" s="90"/>
      <c r="AE6" s="128"/>
      <c r="AF6" s="90"/>
      <c r="AG6" s="88"/>
      <c r="AH6" s="88"/>
      <c r="AI6" s="128"/>
      <c r="AJ6" s="90"/>
      <c r="AK6" s="128"/>
      <c r="AL6" s="90"/>
      <c r="AM6" s="128"/>
      <c r="AN6" s="90"/>
      <c r="AO6" s="128"/>
      <c r="AP6" s="186"/>
      <c r="AQ6" s="253"/>
      <c r="AR6" s="186"/>
      <c r="AS6" s="128"/>
      <c r="AT6" s="253"/>
      <c r="AU6" s="186"/>
      <c r="AV6" s="36"/>
      <c r="AW6" s="88">
        <v>2</v>
      </c>
      <c r="AX6" s="88"/>
      <c r="AY6" s="90"/>
      <c r="AZ6" s="88"/>
      <c r="BA6" s="90">
        <v>1</v>
      </c>
      <c r="BB6" s="88"/>
      <c r="BC6" s="128"/>
      <c r="BD6" s="118">
        <v>2</v>
      </c>
      <c r="BE6" s="90"/>
      <c r="BF6" s="88"/>
      <c r="BG6" s="90"/>
      <c r="BH6" s="90"/>
      <c r="BI6" s="253"/>
      <c r="BJ6" s="36"/>
      <c r="BK6" s="90"/>
      <c r="BL6" s="128"/>
      <c r="BM6" s="90"/>
      <c r="BN6" s="269">
        <v>4</v>
      </c>
      <c r="BO6" s="90"/>
      <c r="BP6" s="128"/>
      <c r="BQ6" s="186"/>
      <c r="BR6" s="90"/>
      <c r="BS6" s="128"/>
      <c r="BT6"/>
      <c r="BU6"/>
      <c r="BV6"/>
      <c r="BW6"/>
      <c r="BX6"/>
      <c r="BY6"/>
      <c r="BZ6"/>
      <c r="CA6"/>
      <c r="CB6"/>
    </row>
    <row r="7" spans="1:95" ht="27.6" customHeight="1" x14ac:dyDescent="0.5">
      <c r="A7" s="8" t="s">
        <v>13</v>
      </c>
      <c r="B7" s="2" t="s">
        <v>14</v>
      </c>
      <c r="C7" s="1">
        <v>1904</v>
      </c>
      <c r="D7" s="43" t="s">
        <v>15</v>
      </c>
      <c r="E7" s="35" t="s">
        <v>434</v>
      </c>
      <c r="F7" s="36" t="s">
        <v>49</v>
      </c>
      <c r="G7" s="86">
        <v>5</v>
      </c>
      <c r="H7" s="87"/>
      <c r="I7" s="87">
        <v>1</v>
      </c>
      <c r="J7" s="89"/>
      <c r="K7" s="87"/>
      <c r="L7" s="87"/>
      <c r="M7" s="88"/>
      <c r="N7" s="90">
        <v>3</v>
      </c>
      <c r="O7" s="271">
        <v>3</v>
      </c>
      <c r="P7" s="253"/>
      <c r="Q7" s="86"/>
      <c r="R7" s="88"/>
      <c r="S7" s="86"/>
      <c r="T7" s="88"/>
      <c r="U7" s="253"/>
      <c r="V7" s="253"/>
      <c r="W7" s="36" t="s">
        <v>49</v>
      </c>
      <c r="X7" s="124">
        <v>29</v>
      </c>
      <c r="Y7" s="128"/>
      <c r="Z7" s="90">
        <v>5</v>
      </c>
      <c r="AA7" s="88"/>
      <c r="AB7" s="87"/>
      <c r="AC7" s="128"/>
      <c r="AD7" s="90"/>
      <c r="AE7" s="128"/>
      <c r="AF7" s="90"/>
      <c r="AG7" s="88"/>
      <c r="AH7" s="88"/>
      <c r="AI7" s="128"/>
      <c r="AJ7" s="90"/>
      <c r="AK7" s="128"/>
      <c r="AL7" s="90"/>
      <c r="AM7" s="271">
        <v>8</v>
      </c>
      <c r="AN7" s="90"/>
      <c r="AO7" s="128"/>
      <c r="AP7" s="186"/>
      <c r="AQ7" s="253">
        <v>1</v>
      </c>
      <c r="AR7" s="186"/>
      <c r="AS7" s="128"/>
      <c r="AT7" s="253"/>
      <c r="AU7" s="186"/>
      <c r="AV7" s="36" t="s">
        <v>49</v>
      </c>
      <c r="AW7" s="88">
        <v>1</v>
      </c>
      <c r="AX7" s="88"/>
      <c r="AY7" s="90"/>
      <c r="AZ7" s="88"/>
      <c r="BA7" s="90"/>
      <c r="BB7" s="88"/>
      <c r="BC7" s="128"/>
      <c r="BD7" s="90"/>
      <c r="BE7" s="90"/>
      <c r="BF7" s="88"/>
      <c r="BG7" s="90"/>
      <c r="BH7" s="90"/>
      <c r="BI7" s="253"/>
      <c r="BJ7" s="36" t="s">
        <v>39</v>
      </c>
      <c r="BK7" s="124">
        <v>7</v>
      </c>
      <c r="BL7" s="128"/>
      <c r="BM7" s="90"/>
      <c r="BN7" s="253"/>
      <c r="BO7" s="90"/>
      <c r="BP7" s="128">
        <v>1</v>
      </c>
      <c r="BQ7" s="186"/>
      <c r="BR7" s="90"/>
      <c r="BS7" s="128"/>
      <c r="BT7"/>
      <c r="BU7"/>
      <c r="BV7"/>
      <c r="BW7"/>
      <c r="BX7"/>
      <c r="BY7"/>
      <c r="BZ7"/>
      <c r="CA7"/>
      <c r="CB7"/>
    </row>
    <row r="8" spans="1:95" ht="34.799999999999997" customHeight="1" thickBot="1" x14ac:dyDescent="0.55000000000000004">
      <c r="A8" s="9" t="s">
        <v>16</v>
      </c>
      <c r="B8" s="10" t="s">
        <v>17</v>
      </c>
      <c r="C8" s="11">
        <v>1905</v>
      </c>
      <c r="D8" s="44" t="s">
        <v>7</v>
      </c>
      <c r="E8" s="67" t="s">
        <v>439</v>
      </c>
      <c r="F8" s="45" t="s">
        <v>46</v>
      </c>
      <c r="G8" s="142">
        <v>9</v>
      </c>
      <c r="H8" s="92">
        <v>2</v>
      </c>
      <c r="I8" s="109">
        <v>3</v>
      </c>
      <c r="J8" s="94"/>
      <c r="K8" s="92"/>
      <c r="L8" s="92"/>
      <c r="M8" s="93"/>
      <c r="N8" s="191">
        <v>3</v>
      </c>
      <c r="O8" s="129"/>
      <c r="P8" s="254">
        <v>3</v>
      </c>
      <c r="Q8" s="91">
        <v>1</v>
      </c>
      <c r="R8" s="93"/>
      <c r="S8" s="91"/>
      <c r="T8" s="93">
        <v>1</v>
      </c>
      <c r="U8" s="254"/>
      <c r="V8" s="254"/>
      <c r="W8" s="45" t="s">
        <v>46</v>
      </c>
      <c r="X8" s="249">
        <v>19</v>
      </c>
      <c r="Y8" s="129"/>
      <c r="Z8" s="249">
        <v>12</v>
      </c>
      <c r="AA8" s="93"/>
      <c r="AB8" s="92"/>
      <c r="AC8" s="129"/>
      <c r="AD8" s="95"/>
      <c r="AE8" s="129"/>
      <c r="AF8" s="95"/>
      <c r="AG8" s="112">
        <v>2</v>
      </c>
      <c r="AH8" s="93">
        <v>2</v>
      </c>
      <c r="AI8" s="129"/>
      <c r="AJ8" s="95"/>
      <c r="AK8" s="129"/>
      <c r="AL8" s="95">
        <v>1</v>
      </c>
      <c r="AM8" s="129">
        <v>1</v>
      </c>
      <c r="AN8" s="95"/>
      <c r="AO8" s="129"/>
      <c r="AP8" s="187"/>
      <c r="AQ8" s="254"/>
      <c r="AR8" s="187"/>
      <c r="AS8" s="348">
        <v>1</v>
      </c>
      <c r="AT8" s="254"/>
      <c r="AU8" s="343">
        <v>2</v>
      </c>
      <c r="AV8" s="45" t="s">
        <v>46</v>
      </c>
      <c r="AW8" s="93">
        <v>2</v>
      </c>
      <c r="AX8" s="93"/>
      <c r="AY8" s="95">
        <v>1</v>
      </c>
      <c r="AZ8" s="93"/>
      <c r="BA8" s="95">
        <v>2</v>
      </c>
      <c r="BB8" s="93"/>
      <c r="BC8" s="129"/>
      <c r="BD8" s="123">
        <v>2</v>
      </c>
      <c r="BE8" s="95"/>
      <c r="BF8" s="93"/>
      <c r="BG8" s="95"/>
      <c r="BH8" s="95"/>
      <c r="BI8" s="254"/>
      <c r="BJ8" s="45" t="s">
        <v>40</v>
      </c>
      <c r="BK8" s="95">
        <v>2</v>
      </c>
      <c r="BL8" s="129"/>
      <c r="BM8" s="95">
        <v>3</v>
      </c>
      <c r="BN8" s="254"/>
      <c r="BO8" s="95"/>
      <c r="BP8" s="129">
        <v>1</v>
      </c>
      <c r="BQ8" s="187"/>
      <c r="BR8" s="95"/>
      <c r="BS8" s="129"/>
      <c r="BT8"/>
      <c r="BU8"/>
      <c r="BV8"/>
      <c r="BW8"/>
      <c r="BX8"/>
      <c r="BY8"/>
      <c r="BZ8"/>
      <c r="CA8"/>
      <c r="CB8"/>
    </row>
    <row r="9" spans="1:95" ht="31.2" customHeight="1" thickTop="1" x14ac:dyDescent="0.5">
      <c r="A9" s="12" t="s">
        <v>11</v>
      </c>
      <c r="B9" s="13" t="s">
        <v>18</v>
      </c>
      <c r="C9" s="12">
        <v>1908</v>
      </c>
      <c r="D9" s="51" t="s">
        <v>7</v>
      </c>
      <c r="E9" s="35" t="s">
        <v>442</v>
      </c>
      <c r="F9" s="27" t="s">
        <v>40</v>
      </c>
      <c r="G9" s="96">
        <v>2</v>
      </c>
      <c r="H9" s="97">
        <v>1</v>
      </c>
      <c r="I9" s="97"/>
      <c r="J9" s="99"/>
      <c r="K9" s="97"/>
      <c r="L9" s="97"/>
      <c r="M9" s="98"/>
      <c r="N9" s="100">
        <v>2</v>
      </c>
      <c r="O9" s="130">
        <v>1</v>
      </c>
      <c r="P9" s="255">
        <v>2</v>
      </c>
      <c r="Q9" s="96"/>
      <c r="R9" s="98"/>
      <c r="S9" s="96"/>
      <c r="T9" s="98"/>
      <c r="U9" s="255"/>
      <c r="V9" s="255"/>
      <c r="W9" s="27" t="s">
        <v>47</v>
      </c>
      <c r="X9" s="100">
        <v>3</v>
      </c>
      <c r="Y9" s="130"/>
      <c r="Z9" s="100">
        <v>9</v>
      </c>
      <c r="AA9" s="98"/>
      <c r="AB9" s="97">
        <v>1</v>
      </c>
      <c r="AC9" s="130"/>
      <c r="AD9" s="100">
        <v>2</v>
      </c>
      <c r="AE9" s="130"/>
      <c r="AF9" s="100"/>
      <c r="AG9" s="98"/>
      <c r="AH9" s="98"/>
      <c r="AI9" s="130"/>
      <c r="AJ9" s="100"/>
      <c r="AK9" s="130"/>
      <c r="AL9" s="100"/>
      <c r="AM9" s="130">
        <v>2</v>
      </c>
      <c r="AN9" s="100"/>
      <c r="AO9" s="130"/>
      <c r="AP9" s="188"/>
      <c r="AQ9" s="255"/>
      <c r="AR9" s="188"/>
      <c r="AS9" s="130"/>
      <c r="AT9" s="255"/>
      <c r="AU9" s="188"/>
      <c r="AV9" s="27" t="s">
        <v>47</v>
      </c>
      <c r="AW9" s="98">
        <v>3</v>
      </c>
      <c r="AX9" s="98"/>
      <c r="AY9" s="100"/>
      <c r="AZ9" s="98"/>
      <c r="BA9" s="100"/>
      <c r="BB9" s="98"/>
      <c r="BC9" s="130"/>
      <c r="BD9" s="147">
        <v>2</v>
      </c>
      <c r="BE9" s="100"/>
      <c r="BF9" s="98"/>
      <c r="BG9" s="100"/>
      <c r="BH9" s="147">
        <v>1</v>
      </c>
      <c r="BI9" s="347">
        <v>1</v>
      </c>
      <c r="BJ9" s="27" t="s">
        <v>50</v>
      </c>
      <c r="BK9" s="100">
        <v>3</v>
      </c>
      <c r="BL9" s="130">
        <v>1</v>
      </c>
      <c r="BM9" s="168">
        <v>4</v>
      </c>
      <c r="BN9" s="255">
        <v>1</v>
      </c>
      <c r="BO9" s="100"/>
      <c r="BP9" s="130">
        <v>1</v>
      </c>
      <c r="BQ9" s="188">
        <v>2</v>
      </c>
      <c r="BR9" s="100">
        <v>1</v>
      </c>
      <c r="BS9" s="130"/>
      <c r="BT9"/>
      <c r="BU9"/>
      <c r="BV9"/>
      <c r="BW9"/>
      <c r="BX9"/>
      <c r="BY9"/>
      <c r="BZ9"/>
      <c r="CA9"/>
      <c r="CB9"/>
    </row>
    <row r="10" spans="1:95" ht="31.2" customHeight="1" x14ac:dyDescent="0.5">
      <c r="A10" s="1" t="s">
        <v>19</v>
      </c>
      <c r="B10" s="2" t="s">
        <v>20</v>
      </c>
      <c r="C10" s="1">
        <v>1908</v>
      </c>
      <c r="D10" s="43" t="s">
        <v>15</v>
      </c>
      <c r="E10" s="35" t="s">
        <v>443</v>
      </c>
      <c r="F10" s="36"/>
      <c r="G10" s="86">
        <v>3</v>
      </c>
      <c r="H10" s="113">
        <v>3</v>
      </c>
      <c r="I10" s="137"/>
      <c r="J10" s="89"/>
      <c r="K10" s="137"/>
      <c r="L10" s="137"/>
      <c r="M10" s="133"/>
      <c r="N10" s="90"/>
      <c r="O10" s="194"/>
      <c r="P10" s="257">
        <v>2</v>
      </c>
      <c r="Q10" s="132"/>
      <c r="R10" s="133"/>
      <c r="S10" s="132"/>
      <c r="T10" s="133"/>
      <c r="U10" s="257"/>
      <c r="V10" s="257">
        <v>1</v>
      </c>
      <c r="W10" s="36" t="s">
        <v>41</v>
      </c>
      <c r="X10" s="90">
        <v>15</v>
      </c>
      <c r="Y10" s="128"/>
      <c r="Z10" s="124">
        <v>16</v>
      </c>
      <c r="AA10" s="111">
        <v>9</v>
      </c>
      <c r="AB10" s="87"/>
      <c r="AC10" s="128">
        <v>1</v>
      </c>
      <c r="AD10" s="90">
        <v>1</v>
      </c>
      <c r="AE10" s="271">
        <v>4</v>
      </c>
      <c r="AF10" s="90"/>
      <c r="AG10" s="88"/>
      <c r="AH10" s="88"/>
      <c r="AI10" s="128"/>
      <c r="AJ10" s="90">
        <v>2</v>
      </c>
      <c r="AK10" s="128"/>
      <c r="AL10" s="90"/>
      <c r="AM10" s="128"/>
      <c r="AN10" s="90"/>
      <c r="AO10" s="271">
        <v>4</v>
      </c>
      <c r="AP10" s="186"/>
      <c r="AQ10" s="253"/>
      <c r="AR10" s="186"/>
      <c r="AS10" s="128"/>
      <c r="AT10" s="253"/>
      <c r="AU10" s="186"/>
      <c r="AV10" s="36" t="s">
        <v>41</v>
      </c>
      <c r="AW10" s="107">
        <v>10</v>
      </c>
      <c r="AX10" s="88"/>
      <c r="AY10" s="118">
        <v>10</v>
      </c>
      <c r="AZ10" s="88">
        <v>4</v>
      </c>
      <c r="BA10" s="90"/>
      <c r="BB10" s="88"/>
      <c r="BC10" s="128"/>
      <c r="BD10" s="90"/>
      <c r="BE10" s="90"/>
      <c r="BF10" s="88">
        <v>1</v>
      </c>
      <c r="BG10" s="90"/>
      <c r="BH10" s="90"/>
      <c r="BI10" s="253"/>
      <c r="BJ10" s="36" t="s">
        <v>41</v>
      </c>
      <c r="BK10" s="90">
        <v>1</v>
      </c>
      <c r="BL10" s="128"/>
      <c r="BM10" s="90">
        <v>1</v>
      </c>
      <c r="BN10" s="253">
        <v>1</v>
      </c>
      <c r="BO10" s="90"/>
      <c r="BP10" s="128">
        <v>2</v>
      </c>
      <c r="BQ10" s="186"/>
      <c r="BR10" s="90"/>
      <c r="BS10" s="128"/>
      <c r="BT10"/>
      <c r="BU10"/>
      <c r="BV10"/>
      <c r="BW10"/>
      <c r="BX10"/>
      <c r="BY10"/>
      <c r="BZ10"/>
      <c r="CA10"/>
      <c r="CB10"/>
    </row>
    <row r="11" spans="1:95" ht="29.4" customHeight="1" x14ac:dyDescent="0.5">
      <c r="A11" s="140" t="s">
        <v>21</v>
      </c>
      <c r="B11" s="2" t="s">
        <v>22</v>
      </c>
      <c r="C11" s="1">
        <v>1909</v>
      </c>
      <c r="D11" s="43" t="s">
        <v>7</v>
      </c>
      <c r="E11" s="35" t="s">
        <v>444</v>
      </c>
      <c r="F11" s="36" t="s">
        <v>369</v>
      </c>
      <c r="G11" s="86"/>
      <c r="H11" s="87">
        <v>1</v>
      </c>
      <c r="I11" s="87"/>
      <c r="J11" s="89"/>
      <c r="K11" s="87"/>
      <c r="L11" s="87"/>
      <c r="M11" s="88"/>
      <c r="N11" s="90"/>
      <c r="O11" s="128"/>
      <c r="P11" s="253"/>
      <c r="Q11" s="86"/>
      <c r="R11" s="88"/>
      <c r="S11" s="86"/>
      <c r="T11" s="88"/>
      <c r="U11" s="253"/>
      <c r="V11" s="253"/>
      <c r="W11" s="36" t="s">
        <v>48</v>
      </c>
      <c r="X11" s="90">
        <v>2</v>
      </c>
      <c r="Y11" s="128"/>
      <c r="Z11" s="90"/>
      <c r="AA11" s="88"/>
      <c r="AB11" s="87"/>
      <c r="AC11" s="128"/>
      <c r="AD11" s="90"/>
      <c r="AE11" s="128"/>
      <c r="AF11" s="90"/>
      <c r="AG11" s="88"/>
      <c r="AH11" s="88"/>
      <c r="AI11" s="128"/>
      <c r="AJ11" s="90"/>
      <c r="AK11" s="128"/>
      <c r="AL11" s="90"/>
      <c r="AM11" s="128"/>
      <c r="AN11" s="90"/>
      <c r="AO11" s="128"/>
      <c r="AP11" s="186"/>
      <c r="AQ11" s="253"/>
      <c r="AR11" s="186"/>
      <c r="AS11" s="128"/>
      <c r="AT11" s="253"/>
      <c r="AU11" s="186"/>
      <c r="AV11" s="36" t="s">
        <v>48</v>
      </c>
      <c r="AW11" s="88"/>
      <c r="AX11" s="88"/>
      <c r="AY11" s="90"/>
      <c r="AZ11" s="88"/>
      <c r="BA11" s="90">
        <v>1</v>
      </c>
      <c r="BB11" s="88"/>
      <c r="BC11" s="128"/>
      <c r="BD11" s="90">
        <v>1</v>
      </c>
      <c r="BE11" s="90"/>
      <c r="BF11" s="88"/>
      <c r="BG11" s="90"/>
      <c r="BH11" s="118">
        <v>1</v>
      </c>
      <c r="BI11" s="253"/>
      <c r="BJ11" s="36" t="s">
        <v>384</v>
      </c>
      <c r="BK11" s="90">
        <v>2</v>
      </c>
      <c r="BL11" s="128"/>
      <c r="BM11" s="90">
        <v>1</v>
      </c>
      <c r="BN11" s="253"/>
      <c r="BO11" s="90"/>
      <c r="BP11" s="128"/>
      <c r="BQ11" s="186">
        <v>1</v>
      </c>
      <c r="BR11" s="90"/>
      <c r="BS11" s="128"/>
      <c r="BT11"/>
      <c r="BU11"/>
      <c r="BV11"/>
      <c r="BW11"/>
      <c r="BX11"/>
      <c r="BY11"/>
      <c r="BZ11"/>
      <c r="CA11"/>
      <c r="CB11"/>
    </row>
    <row r="12" spans="1:95" ht="30.6" customHeight="1" x14ac:dyDescent="0.5">
      <c r="A12" s="1" t="s">
        <v>23</v>
      </c>
      <c r="B12" s="2" t="s">
        <v>24</v>
      </c>
      <c r="C12" s="1">
        <v>1909</v>
      </c>
      <c r="D12" s="43" t="s">
        <v>15</v>
      </c>
      <c r="E12" s="35" t="s">
        <v>446</v>
      </c>
      <c r="F12" s="36"/>
      <c r="G12" s="86">
        <v>2</v>
      </c>
      <c r="H12" s="87">
        <v>1</v>
      </c>
      <c r="I12" s="87">
        <v>1</v>
      </c>
      <c r="J12" s="89"/>
      <c r="K12" s="87"/>
      <c r="L12" s="87"/>
      <c r="M12" s="88"/>
      <c r="N12" s="124">
        <v>5</v>
      </c>
      <c r="O12" s="128"/>
      <c r="P12" s="253"/>
      <c r="Q12" s="86"/>
      <c r="R12" s="88"/>
      <c r="S12" s="86"/>
      <c r="T12" s="88"/>
      <c r="U12" s="253"/>
      <c r="V12" s="253"/>
      <c r="W12" s="36" t="s">
        <v>41</v>
      </c>
      <c r="X12" s="90">
        <v>2</v>
      </c>
      <c r="Y12" s="128">
        <v>1</v>
      </c>
      <c r="Z12" s="90">
        <v>5</v>
      </c>
      <c r="AA12" s="88"/>
      <c r="AB12" s="87"/>
      <c r="AC12" s="128"/>
      <c r="AD12" s="90"/>
      <c r="AE12" s="128"/>
      <c r="AF12" s="90"/>
      <c r="AG12" s="88"/>
      <c r="AH12" s="88"/>
      <c r="AI12" s="128"/>
      <c r="AJ12" s="90"/>
      <c r="AK12" s="128"/>
      <c r="AL12" s="90"/>
      <c r="AM12" s="128"/>
      <c r="AN12" s="90"/>
      <c r="AO12" s="128"/>
      <c r="AP12" s="186"/>
      <c r="AQ12" s="253"/>
      <c r="AR12" s="186"/>
      <c r="AS12" s="128"/>
      <c r="AT12" s="253"/>
      <c r="AU12" s="186"/>
      <c r="AV12" s="36" t="s">
        <v>41</v>
      </c>
      <c r="AW12" s="88"/>
      <c r="AX12" s="88"/>
      <c r="AY12" s="90"/>
      <c r="AZ12" s="88"/>
      <c r="BA12" s="90"/>
      <c r="BB12" s="88"/>
      <c r="BC12" s="128"/>
      <c r="BD12" s="90"/>
      <c r="BE12" s="90"/>
      <c r="BF12" s="88"/>
      <c r="BG12" s="90"/>
      <c r="BH12" s="90"/>
      <c r="BI12" s="253"/>
      <c r="BJ12" s="36" t="s">
        <v>41</v>
      </c>
      <c r="BK12" s="90">
        <v>3</v>
      </c>
      <c r="BL12" s="128"/>
      <c r="BM12" s="124">
        <v>4</v>
      </c>
      <c r="BN12" s="253"/>
      <c r="BO12" s="90"/>
      <c r="BP12" s="128">
        <v>1</v>
      </c>
      <c r="BQ12" s="186"/>
      <c r="BR12" s="90"/>
      <c r="BS12" s="128"/>
      <c r="BT12"/>
      <c r="BU12"/>
      <c r="BV12"/>
      <c r="BW12"/>
      <c r="BX12"/>
      <c r="BY12"/>
      <c r="BZ12"/>
      <c r="CA12"/>
      <c r="CB12"/>
    </row>
    <row r="13" spans="1:95" ht="29.4" customHeight="1" x14ac:dyDescent="0.5">
      <c r="A13" s="1" t="s">
        <v>25</v>
      </c>
      <c r="B13" s="2" t="s">
        <v>26</v>
      </c>
      <c r="C13" s="1">
        <v>1910</v>
      </c>
      <c r="D13" s="43" t="s">
        <v>7</v>
      </c>
      <c r="E13" s="35" t="s">
        <v>449</v>
      </c>
      <c r="F13" s="36" t="s">
        <v>392</v>
      </c>
      <c r="G13" s="86">
        <v>2</v>
      </c>
      <c r="H13" s="87">
        <v>2</v>
      </c>
      <c r="I13" s="113">
        <v>5</v>
      </c>
      <c r="J13" s="89"/>
      <c r="K13" s="87"/>
      <c r="L13" s="87"/>
      <c r="M13" s="88"/>
      <c r="N13" s="90">
        <v>1</v>
      </c>
      <c r="O13" s="271">
        <v>3</v>
      </c>
      <c r="P13" s="267">
        <v>6</v>
      </c>
      <c r="Q13" s="86"/>
      <c r="R13" s="88"/>
      <c r="S13" s="86"/>
      <c r="T13" s="88">
        <v>1</v>
      </c>
      <c r="U13" s="253"/>
      <c r="V13" s="253"/>
      <c r="W13" s="36" t="s">
        <v>40</v>
      </c>
      <c r="X13" s="90">
        <v>1</v>
      </c>
      <c r="Y13" s="128"/>
      <c r="Z13" s="90">
        <v>7</v>
      </c>
      <c r="AA13" s="88"/>
      <c r="AB13" s="87"/>
      <c r="AC13" s="128"/>
      <c r="AD13" s="90"/>
      <c r="AE13" s="128"/>
      <c r="AF13" s="90"/>
      <c r="AG13" s="88"/>
      <c r="AH13" s="88"/>
      <c r="AI13" s="128"/>
      <c r="AJ13" s="90"/>
      <c r="AK13" s="128"/>
      <c r="AL13" s="90"/>
      <c r="AM13" s="128"/>
      <c r="AN13" s="90"/>
      <c r="AO13" s="128"/>
      <c r="AP13" s="186"/>
      <c r="AQ13" s="253"/>
      <c r="AR13" s="186"/>
      <c r="AS13" s="128"/>
      <c r="AT13" s="253"/>
      <c r="AU13" s="186"/>
      <c r="AV13" s="36" t="s">
        <v>40</v>
      </c>
      <c r="AW13" s="88">
        <v>3</v>
      </c>
      <c r="AX13" s="88">
        <v>1</v>
      </c>
      <c r="AY13" s="90">
        <v>2</v>
      </c>
      <c r="AZ13" s="88"/>
      <c r="BA13" s="90"/>
      <c r="BB13" s="88"/>
      <c r="BC13" s="128"/>
      <c r="BD13" s="90"/>
      <c r="BE13" s="90"/>
      <c r="BF13" s="88"/>
      <c r="BG13" s="90">
        <v>1</v>
      </c>
      <c r="BH13" s="90"/>
      <c r="BI13" s="253"/>
      <c r="BJ13" s="36" t="s">
        <v>43</v>
      </c>
      <c r="BK13" s="90"/>
      <c r="BL13" s="128"/>
      <c r="BM13" s="90"/>
      <c r="BN13" s="253"/>
      <c r="BO13" s="90">
        <v>1</v>
      </c>
      <c r="BP13" s="128">
        <v>1</v>
      </c>
      <c r="BQ13" s="186">
        <v>1</v>
      </c>
      <c r="BR13" s="90"/>
      <c r="BS13" s="128"/>
      <c r="BT13"/>
      <c r="BU13"/>
      <c r="BV13"/>
      <c r="BW13"/>
      <c r="BX13"/>
      <c r="BY13"/>
      <c r="BZ13"/>
      <c r="CA13"/>
      <c r="CB13"/>
    </row>
    <row r="14" spans="1:95" ht="39.6" customHeight="1" thickBot="1" x14ac:dyDescent="0.55000000000000004">
      <c r="A14" s="14" t="s">
        <v>27</v>
      </c>
      <c r="B14" s="58" t="s">
        <v>28</v>
      </c>
      <c r="C14" s="59">
        <v>1910</v>
      </c>
      <c r="D14" s="60" t="s">
        <v>29</v>
      </c>
      <c r="E14" s="67" t="s">
        <v>451</v>
      </c>
      <c r="F14" s="45" t="s">
        <v>46</v>
      </c>
      <c r="G14" s="101">
        <v>1</v>
      </c>
      <c r="H14" s="102"/>
      <c r="I14" s="102"/>
      <c r="J14" s="104"/>
      <c r="K14" s="102"/>
      <c r="L14" s="102"/>
      <c r="M14" s="103"/>
      <c r="N14" s="105"/>
      <c r="O14" s="131"/>
      <c r="P14" s="256"/>
      <c r="Q14" s="101"/>
      <c r="R14" s="103"/>
      <c r="S14" s="101"/>
      <c r="T14" s="103"/>
      <c r="U14" s="256"/>
      <c r="V14" s="256"/>
      <c r="W14" s="45" t="s">
        <v>42</v>
      </c>
      <c r="X14" s="105">
        <v>8</v>
      </c>
      <c r="Y14" s="131"/>
      <c r="Z14" s="105">
        <v>4</v>
      </c>
      <c r="AA14" s="103">
        <v>1</v>
      </c>
      <c r="AB14" s="102"/>
      <c r="AC14" s="131"/>
      <c r="AD14" s="105"/>
      <c r="AE14" s="131"/>
      <c r="AF14" s="105"/>
      <c r="AG14" s="103"/>
      <c r="AH14" s="103"/>
      <c r="AI14" s="131"/>
      <c r="AJ14" s="105">
        <v>1</v>
      </c>
      <c r="AK14" s="131"/>
      <c r="AL14" s="105"/>
      <c r="AM14" s="131">
        <v>1</v>
      </c>
      <c r="AN14" s="105">
        <v>1</v>
      </c>
      <c r="AO14" s="131">
        <v>1</v>
      </c>
      <c r="AP14" s="189"/>
      <c r="AQ14" s="256"/>
      <c r="AR14" s="189"/>
      <c r="AS14" s="131"/>
      <c r="AT14" s="256"/>
      <c r="AU14" s="189"/>
      <c r="AV14" s="45" t="s">
        <v>42</v>
      </c>
      <c r="AW14" s="103">
        <v>5</v>
      </c>
      <c r="AX14" s="103"/>
      <c r="AY14" s="105">
        <v>3</v>
      </c>
      <c r="AZ14" s="344">
        <v>12</v>
      </c>
      <c r="BA14" s="346">
        <v>10</v>
      </c>
      <c r="BB14" s="103"/>
      <c r="BC14" s="131">
        <v>1</v>
      </c>
      <c r="BD14" s="105"/>
      <c r="BE14" s="105"/>
      <c r="BF14" s="103"/>
      <c r="BG14" s="105"/>
      <c r="BH14" s="345">
        <v>1</v>
      </c>
      <c r="BI14" s="256"/>
      <c r="BJ14" s="45" t="s">
        <v>42</v>
      </c>
      <c r="BK14" s="105"/>
      <c r="BL14" s="131"/>
      <c r="BM14" s="105"/>
      <c r="BN14" s="256"/>
      <c r="BO14" s="105"/>
      <c r="BP14" s="131"/>
      <c r="BQ14" s="189"/>
      <c r="BR14" s="105"/>
      <c r="BS14" s="131">
        <v>1</v>
      </c>
      <c r="BT14"/>
      <c r="BU14"/>
      <c r="BV14"/>
      <c r="BW14"/>
      <c r="BX14"/>
      <c r="BY14"/>
      <c r="BZ14"/>
      <c r="CA14"/>
      <c r="CB14"/>
    </row>
    <row r="15" spans="1:95" ht="28.8" customHeight="1" thickTop="1" x14ac:dyDescent="0.5">
      <c r="A15" s="5" t="s">
        <v>30</v>
      </c>
      <c r="B15" s="7" t="s">
        <v>31</v>
      </c>
      <c r="C15" s="7">
        <v>1911</v>
      </c>
      <c r="D15" s="25" t="s">
        <v>7</v>
      </c>
      <c r="E15" s="35" t="s">
        <v>453</v>
      </c>
      <c r="F15" s="27" t="s">
        <v>49</v>
      </c>
      <c r="G15" s="81"/>
      <c r="H15" s="82"/>
      <c r="I15" s="82"/>
      <c r="J15" s="84">
        <v>2</v>
      </c>
      <c r="K15" s="82">
        <v>1</v>
      </c>
      <c r="L15" s="80">
        <v>2</v>
      </c>
      <c r="M15" s="115">
        <v>2</v>
      </c>
      <c r="N15" s="85">
        <v>3</v>
      </c>
      <c r="O15" s="127">
        <v>2</v>
      </c>
      <c r="P15" s="276">
        <v>7</v>
      </c>
      <c r="Q15" s="81"/>
      <c r="R15" s="83">
        <v>1</v>
      </c>
      <c r="S15" s="81"/>
      <c r="T15" s="83"/>
      <c r="U15" s="252"/>
      <c r="V15" s="252"/>
      <c r="W15" s="27"/>
      <c r="X15" s="85">
        <v>3</v>
      </c>
      <c r="Y15" s="127"/>
      <c r="Z15" s="85">
        <v>1</v>
      </c>
      <c r="AA15" s="83"/>
      <c r="AB15" s="82"/>
      <c r="AC15" s="127"/>
      <c r="AD15" s="85"/>
      <c r="AE15" s="127"/>
      <c r="AF15" s="85"/>
      <c r="AG15" s="83"/>
      <c r="AH15" s="83"/>
      <c r="AI15" s="127"/>
      <c r="AJ15" s="85"/>
      <c r="AK15" s="127"/>
      <c r="AL15" s="85"/>
      <c r="AM15" s="127"/>
      <c r="AN15" s="85"/>
      <c r="AO15" s="127"/>
      <c r="AP15" s="185">
        <v>1</v>
      </c>
      <c r="AQ15" s="252"/>
      <c r="AR15" s="265">
        <v>1</v>
      </c>
      <c r="AS15" s="127"/>
      <c r="AT15" s="252"/>
      <c r="AU15" s="185"/>
      <c r="AV15" s="27"/>
      <c r="AW15" s="83">
        <v>1</v>
      </c>
      <c r="AX15" s="83"/>
      <c r="AY15" s="85"/>
      <c r="AZ15" s="83"/>
      <c r="BA15" s="85"/>
      <c r="BB15" s="83"/>
      <c r="BC15" s="127"/>
      <c r="BD15" s="85"/>
      <c r="BE15" s="85"/>
      <c r="BF15" s="83"/>
      <c r="BG15" s="85"/>
      <c r="BH15" s="85"/>
      <c r="BI15" s="252"/>
      <c r="BJ15" s="27" t="s">
        <v>40</v>
      </c>
      <c r="BK15" s="148">
        <v>4</v>
      </c>
      <c r="BL15" s="127">
        <v>1</v>
      </c>
      <c r="BM15" s="85"/>
      <c r="BN15" s="252"/>
      <c r="BO15" s="85"/>
      <c r="BP15" s="272">
        <v>4</v>
      </c>
      <c r="BQ15" s="342">
        <v>3</v>
      </c>
      <c r="BR15" s="85"/>
      <c r="BS15" s="127"/>
      <c r="BT15"/>
      <c r="BU15"/>
      <c r="BV15"/>
      <c r="BW15"/>
      <c r="BX15"/>
      <c r="BY15"/>
      <c r="BZ15"/>
      <c r="CA15"/>
      <c r="CB15"/>
    </row>
    <row r="16" spans="1:95" ht="27" customHeight="1" x14ac:dyDescent="0.5">
      <c r="A16" s="8" t="s">
        <v>32</v>
      </c>
      <c r="B16" s="2" t="s">
        <v>33</v>
      </c>
      <c r="C16" s="1">
        <v>1912</v>
      </c>
      <c r="D16" s="43" t="s">
        <v>7</v>
      </c>
      <c r="E16" s="35" t="s">
        <v>456</v>
      </c>
      <c r="F16" s="36" t="s">
        <v>41</v>
      </c>
      <c r="G16" s="173">
        <v>12</v>
      </c>
      <c r="H16" s="87"/>
      <c r="I16" s="87">
        <v>1</v>
      </c>
      <c r="J16" s="89"/>
      <c r="K16" s="87"/>
      <c r="L16" s="87"/>
      <c r="M16" s="88"/>
      <c r="N16" s="90">
        <v>1</v>
      </c>
      <c r="O16" s="128"/>
      <c r="P16" s="253"/>
      <c r="Q16" s="86"/>
      <c r="R16" s="88"/>
      <c r="S16" s="86"/>
      <c r="T16" s="88"/>
      <c r="U16" s="253">
        <v>1</v>
      </c>
      <c r="V16" s="253"/>
      <c r="W16" s="36"/>
      <c r="X16" s="124">
        <v>18</v>
      </c>
      <c r="Y16" s="128"/>
      <c r="Z16" s="90">
        <v>2</v>
      </c>
      <c r="AA16" s="111">
        <v>6</v>
      </c>
      <c r="AB16" s="87"/>
      <c r="AC16" s="128"/>
      <c r="AD16" s="90">
        <v>2</v>
      </c>
      <c r="AE16" s="271">
        <v>3</v>
      </c>
      <c r="AF16" s="90">
        <v>1</v>
      </c>
      <c r="AG16" s="88">
        <v>1</v>
      </c>
      <c r="AH16" s="88">
        <v>2</v>
      </c>
      <c r="AI16" s="128"/>
      <c r="AJ16" s="90"/>
      <c r="AK16" s="128"/>
      <c r="AL16" s="90"/>
      <c r="AM16" s="128">
        <v>1</v>
      </c>
      <c r="AN16" s="90">
        <v>1</v>
      </c>
      <c r="AO16" s="128"/>
      <c r="AP16" s="273">
        <v>2</v>
      </c>
      <c r="AQ16" s="253"/>
      <c r="AR16" s="186"/>
      <c r="AS16" s="128"/>
      <c r="AT16" s="253"/>
      <c r="AU16" s="186"/>
      <c r="AV16" s="36"/>
      <c r="AW16" s="107">
        <v>8</v>
      </c>
      <c r="AX16" s="88"/>
      <c r="AY16" s="90">
        <v>1</v>
      </c>
      <c r="AZ16" s="107">
        <v>7</v>
      </c>
      <c r="BA16" s="118">
        <v>4</v>
      </c>
      <c r="BB16" s="88"/>
      <c r="BC16" s="128">
        <v>1</v>
      </c>
      <c r="BD16" s="90">
        <v>1</v>
      </c>
      <c r="BE16" s="90">
        <v>1</v>
      </c>
      <c r="BF16" s="88"/>
      <c r="BG16" s="90"/>
      <c r="BH16" s="90"/>
      <c r="BI16" s="253"/>
      <c r="BJ16" s="36"/>
      <c r="BK16" s="90">
        <v>3</v>
      </c>
      <c r="BL16" s="128"/>
      <c r="BM16" s="90"/>
      <c r="BN16" s="253">
        <v>1</v>
      </c>
      <c r="BO16" s="90"/>
      <c r="BP16" s="128"/>
      <c r="BQ16" s="186"/>
      <c r="BR16" s="90"/>
      <c r="BS16" s="128">
        <v>1</v>
      </c>
      <c r="BT16"/>
      <c r="BU16"/>
      <c r="BV16"/>
      <c r="BW16"/>
      <c r="BX16"/>
      <c r="BY16"/>
      <c r="BZ16"/>
      <c r="CA16" s="340"/>
      <c r="CB16" s="340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</row>
    <row r="17" spans="1:95" ht="31.8" customHeight="1" x14ac:dyDescent="0.5">
      <c r="A17" s="8" t="s">
        <v>34</v>
      </c>
      <c r="B17" s="2" t="s">
        <v>35</v>
      </c>
      <c r="C17" s="1">
        <v>1913</v>
      </c>
      <c r="D17" s="43" t="s">
        <v>7</v>
      </c>
      <c r="E17" s="35" t="s">
        <v>455</v>
      </c>
      <c r="F17" s="36" t="s">
        <v>43</v>
      </c>
      <c r="G17" s="86">
        <v>2</v>
      </c>
      <c r="H17" s="87"/>
      <c r="I17" s="87">
        <v>1</v>
      </c>
      <c r="J17" s="89"/>
      <c r="K17" s="87"/>
      <c r="L17" s="87">
        <v>1</v>
      </c>
      <c r="M17" s="88"/>
      <c r="N17" s="90"/>
      <c r="O17" s="128"/>
      <c r="P17" s="253">
        <v>1</v>
      </c>
      <c r="Q17" s="86"/>
      <c r="R17" s="88"/>
      <c r="S17" s="86"/>
      <c r="T17" s="88"/>
      <c r="U17" s="253"/>
      <c r="V17" s="253"/>
      <c r="W17" s="36"/>
      <c r="X17" s="90">
        <v>6</v>
      </c>
      <c r="Y17" s="128"/>
      <c r="Z17" s="90">
        <v>4</v>
      </c>
      <c r="AA17" s="88">
        <v>3</v>
      </c>
      <c r="AB17" s="87"/>
      <c r="AC17" s="128"/>
      <c r="AD17" s="90"/>
      <c r="AE17" s="128"/>
      <c r="AF17" s="90"/>
      <c r="AG17" s="88"/>
      <c r="AH17" s="88"/>
      <c r="AI17" s="128"/>
      <c r="AJ17" s="90"/>
      <c r="AK17" s="128"/>
      <c r="AL17" s="90"/>
      <c r="AM17" s="128"/>
      <c r="AN17" s="90"/>
      <c r="AO17" s="128"/>
      <c r="AP17" s="186"/>
      <c r="AQ17" s="253"/>
      <c r="AR17" s="186"/>
      <c r="AS17" s="128"/>
      <c r="AT17" s="253"/>
      <c r="AU17" s="186"/>
      <c r="AV17" s="36"/>
      <c r="AW17" s="88">
        <v>3</v>
      </c>
      <c r="AX17" s="88"/>
      <c r="AY17" s="90"/>
      <c r="AZ17" s="88"/>
      <c r="BA17" s="90"/>
      <c r="BB17" s="88"/>
      <c r="BC17" s="128"/>
      <c r="BD17" s="90">
        <v>1</v>
      </c>
      <c r="BE17" s="90"/>
      <c r="BF17" s="88"/>
      <c r="BG17" s="90"/>
      <c r="BH17" s="90"/>
      <c r="BI17" s="253"/>
      <c r="BJ17" s="36"/>
      <c r="BK17" s="90">
        <v>3</v>
      </c>
      <c r="BL17" s="128"/>
      <c r="BM17" s="124">
        <v>5</v>
      </c>
      <c r="BN17" s="253">
        <v>1</v>
      </c>
      <c r="BO17" s="90"/>
      <c r="BP17" s="271">
        <v>6</v>
      </c>
      <c r="BQ17" s="186"/>
      <c r="BR17" s="90">
        <v>1</v>
      </c>
      <c r="BS17" s="128">
        <v>1</v>
      </c>
      <c r="BT17"/>
      <c r="BU17"/>
      <c r="BV17"/>
      <c r="BW17"/>
      <c r="BX17"/>
      <c r="BY17"/>
      <c r="BZ17"/>
      <c r="CA17" s="340"/>
      <c r="CB17" s="340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</row>
    <row r="18" spans="1:95" ht="44.4" customHeight="1" thickBot="1" x14ac:dyDescent="0.55000000000000004">
      <c r="A18" s="9" t="s">
        <v>36</v>
      </c>
      <c r="B18" s="10" t="s">
        <v>37</v>
      </c>
      <c r="C18" s="11">
        <v>1914</v>
      </c>
      <c r="D18" s="44" t="s">
        <v>15</v>
      </c>
      <c r="E18" s="67" t="s">
        <v>457</v>
      </c>
      <c r="F18" s="68"/>
      <c r="G18" s="91"/>
      <c r="H18" s="92"/>
      <c r="I18" s="92"/>
      <c r="J18" s="94"/>
      <c r="K18" s="92"/>
      <c r="L18" s="92"/>
      <c r="M18" s="93"/>
      <c r="N18" s="249">
        <v>5</v>
      </c>
      <c r="O18" s="129"/>
      <c r="P18" s="254">
        <v>4</v>
      </c>
      <c r="Q18" s="91"/>
      <c r="R18" s="93"/>
      <c r="S18" s="91"/>
      <c r="T18" s="93"/>
      <c r="U18" s="254"/>
      <c r="V18" s="254"/>
      <c r="W18" s="68"/>
      <c r="X18" s="95">
        <v>1</v>
      </c>
      <c r="Y18" s="129"/>
      <c r="Z18" s="95">
        <v>2</v>
      </c>
      <c r="AA18" s="93"/>
      <c r="AB18" s="92"/>
      <c r="AC18" s="129"/>
      <c r="AD18" s="95"/>
      <c r="AE18" s="129"/>
      <c r="AF18" s="95"/>
      <c r="AG18" s="93"/>
      <c r="AH18" s="93"/>
      <c r="AI18" s="129"/>
      <c r="AJ18" s="95"/>
      <c r="AK18" s="129"/>
      <c r="AL18" s="95"/>
      <c r="AM18" s="129"/>
      <c r="AN18" s="95"/>
      <c r="AO18" s="129"/>
      <c r="AP18" s="187"/>
      <c r="AQ18" s="254"/>
      <c r="AR18" s="187"/>
      <c r="AS18" s="129"/>
      <c r="AT18" s="254"/>
      <c r="AU18" s="187"/>
      <c r="AV18" s="68"/>
      <c r="AW18" s="93">
        <v>6</v>
      </c>
      <c r="AX18" s="93"/>
      <c r="AY18" s="95"/>
      <c r="AZ18" s="93"/>
      <c r="BA18" s="95"/>
      <c r="BB18" s="93"/>
      <c r="BC18" s="129"/>
      <c r="BD18" s="95"/>
      <c r="BE18" s="95"/>
      <c r="BF18" s="93"/>
      <c r="BG18" s="95">
        <v>1</v>
      </c>
      <c r="BH18" s="95"/>
      <c r="BI18" s="254"/>
      <c r="BJ18" s="68"/>
      <c r="BK18" s="95"/>
      <c r="BL18" s="129"/>
      <c r="BM18" s="95"/>
      <c r="BN18" s="254"/>
      <c r="BO18" s="95"/>
      <c r="BP18" s="129"/>
      <c r="BQ18" s="187"/>
      <c r="BR18" s="95"/>
      <c r="BS18" s="129"/>
      <c r="BT18"/>
      <c r="BU18"/>
      <c r="BV18"/>
      <c r="BW18"/>
      <c r="BX18"/>
      <c r="BY18"/>
      <c r="BZ18"/>
      <c r="CA18" s="340"/>
      <c r="CB18" s="340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</row>
    <row r="19" spans="1:95" s="77" customFormat="1" ht="52.8" customHeight="1" thickTop="1" thickBot="1" x14ac:dyDescent="0.35">
      <c r="A19" s="297" t="s">
        <v>460</v>
      </c>
      <c r="B19" s="297"/>
      <c r="C19" s="297"/>
      <c r="D19" s="298"/>
      <c r="E19" s="299" t="s">
        <v>52</v>
      </c>
      <c r="F19" s="70" t="s">
        <v>51</v>
      </c>
      <c r="G19" s="76">
        <f t="shared" ref="G19:AU19" si="0">SUM(G4:G18)</f>
        <v>48</v>
      </c>
      <c r="H19" s="72">
        <f t="shared" ref="H19:I19" si="1">SUM(H4:H18)</f>
        <v>20</v>
      </c>
      <c r="I19" s="72">
        <f t="shared" si="1"/>
        <v>14</v>
      </c>
      <c r="J19" s="72">
        <f t="shared" si="0"/>
        <v>9</v>
      </c>
      <c r="K19" s="72">
        <f t="shared" si="0"/>
        <v>2</v>
      </c>
      <c r="L19" s="72">
        <f t="shared" si="0"/>
        <v>4</v>
      </c>
      <c r="M19" s="72">
        <f t="shared" si="0"/>
        <v>2</v>
      </c>
      <c r="N19" s="71">
        <f t="shared" ref="N19:O19" si="2">SUM(N4:N18)</f>
        <v>29</v>
      </c>
      <c r="O19" s="75">
        <f t="shared" si="2"/>
        <v>12</v>
      </c>
      <c r="P19" s="279">
        <f t="shared" ref="P19" si="3">SUM(P4:P18)</f>
        <v>37</v>
      </c>
      <c r="Q19" s="71">
        <f t="shared" si="0"/>
        <v>1</v>
      </c>
      <c r="R19" s="72">
        <f t="shared" si="0"/>
        <v>2</v>
      </c>
      <c r="S19" s="71">
        <f t="shared" si="0"/>
        <v>1</v>
      </c>
      <c r="T19" s="72">
        <f t="shared" si="0"/>
        <v>2</v>
      </c>
      <c r="U19" s="279">
        <f t="shared" si="0"/>
        <v>2</v>
      </c>
      <c r="V19" s="279">
        <f t="shared" si="0"/>
        <v>1</v>
      </c>
      <c r="W19" s="70" t="s">
        <v>51</v>
      </c>
      <c r="X19" s="71">
        <f t="shared" ref="X19:Z19" si="4">SUM(X4:X18)</f>
        <v>118</v>
      </c>
      <c r="Y19" s="75">
        <f t="shared" si="4"/>
        <v>1</v>
      </c>
      <c r="Z19" s="71">
        <f t="shared" si="4"/>
        <v>87</v>
      </c>
      <c r="AA19" s="72">
        <f t="shared" si="0"/>
        <v>29</v>
      </c>
      <c r="AB19" s="106">
        <f t="shared" ref="AB19" si="5">SUM(AB4:AB18)</f>
        <v>2</v>
      </c>
      <c r="AC19" s="75">
        <f t="shared" si="0"/>
        <v>2</v>
      </c>
      <c r="AD19" s="71">
        <f t="shared" si="0"/>
        <v>11</v>
      </c>
      <c r="AE19" s="75">
        <f t="shared" si="0"/>
        <v>9</v>
      </c>
      <c r="AF19" s="71">
        <f t="shared" si="0"/>
        <v>1</v>
      </c>
      <c r="AG19" s="72">
        <f t="shared" si="0"/>
        <v>3</v>
      </c>
      <c r="AH19" s="72">
        <f t="shared" si="0"/>
        <v>11</v>
      </c>
      <c r="AI19" s="75">
        <f t="shared" si="0"/>
        <v>3</v>
      </c>
      <c r="AJ19" s="71">
        <f t="shared" si="0"/>
        <v>14</v>
      </c>
      <c r="AK19" s="75">
        <f t="shared" si="0"/>
        <v>1</v>
      </c>
      <c r="AL19" s="71">
        <f t="shared" ref="AL19:AM19" si="6">SUM(AL4:AL18)</f>
        <v>1</v>
      </c>
      <c r="AM19" s="75">
        <f t="shared" si="6"/>
        <v>14</v>
      </c>
      <c r="AN19" s="71">
        <f t="shared" si="0"/>
        <v>7</v>
      </c>
      <c r="AO19" s="75">
        <f t="shared" si="0"/>
        <v>8</v>
      </c>
      <c r="AP19" s="279">
        <f t="shared" ref="AP19" si="7">SUM(AP4:AP18)</f>
        <v>6</v>
      </c>
      <c r="AQ19" s="279">
        <f t="shared" si="0"/>
        <v>3</v>
      </c>
      <c r="AR19" s="72">
        <f t="shared" si="0"/>
        <v>2</v>
      </c>
      <c r="AS19" s="75">
        <f t="shared" si="0"/>
        <v>1</v>
      </c>
      <c r="AT19" s="279">
        <f t="shared" ref="AT19" si="8">SUM(AT4:AT18)</f>
        <v>1</v>
      </c>
      <c r="AU19" s="334">
        <f t="shared" si="0"/>
        <v>2</v>
      </c>
      <c r="AV19" s="70" t="s">
        <v>51</v>
      </c>
      <c r="AW19" s="72">
        <f t="shared" ref="AW19" si="9">SUM(AW4:AW18)</f>
        <v>70</v>
      </c>
      <c r="AX19" s="72">
        <f t="shared" ref="AX19:BA19" si="10">SUM(AX4:AX18)</f>
        <v>14</v>
      </c>
      <c r="AY19" s="71">
        <f t="shared" si="10"/>
        <v>23</v>
      </c>
      <c r="AZ19" s="72">
        <f t="shared" si="10"/>
        <v>26</v>
      </c>
      <c r="BA19" s="71">
        <f t="shared" si="10"/>
        <v>27</v>
      </c>
      <c r="BB19" s="72">
        <f t="shared" ref="BB19:BI19" si="11">SUM(BB4:BB18)</f>
        <v>5</v>
      </c>
      <c r="BC19" s="75">
        <f t="shared" si="11"/>
        <v>5</v>
      </c>
      <c r="BD19" s="279">
        <f t="shared" si="11"/>
        <v>13</v>
      </c>
      <c r="BE19" s="71">
        <f t="shared" si="11"/>
        <v>8</v>
      </c>
      <c r="BF19" s="72">
        <f t="shared" si="11"/>
        <v>5</v>
      </c>
      <c r="BG19" s="279">
        <f t="shared" si="11"/>
        <v>3</v>
      </c>
      <c r="BH19" s="279">
        <f t="shared" ref="BH19" si="12">SUM(BH4:BH18)</f>
        <v>3</v>
      </c>
      <c r="BI19" s="279">
        <f t="shared" si="11"/>
        <v>1</v>
      </c>
      <c r="BJ19" s="70" t="s">
        <v>51</v>
      </c>
      <c r="BK19" s="71">
        <f t="shared" ref="BK19:BL19" si="13">SUM(BK4:BK18)</f>
        <v>31</v>
      </c>
      <c r="BL19" s="75">
        <f t="shared" si="13"/>
        <v>2</v>
      </c>
      <c r="BM19" s="71">
        <f t="shared" ref="BM19:BN19" si="14">SUM(BM4:BM18)</f>
        <v>18</v>
      </c>
      <c r="BN19" s="332">
        <f t="shared" si="14"/>
        <v>9</v>
      </c>
      <c r="BO19" s="71">
        <f t="shared" ref="BO19:BS19" si="15">SUM(BO4:BO18)</f>
        <v>1</v>
      </c>
      <c r="BP19" s="75">
        <f t="shared" si="15"/>
        <v>17</v>
      </c>
      <c r="BQ19" s="279">
        <f t="shared" si="15"/>
        <v>7</v>
      </c>
      <c r="BR19" s="71">
        <f t="shared" si="15"/>
        <v>2</v>
      </c>
      <c r="BS19" s="75">
        <f t="shared" si="15"/>
        <v>3</v>
      </c>
      <c r="BT19"/>
      <c r="BU19"/>
      <c r="BV19"/>
      <c r="BW19"/>
      <c r="BX19"/>
      <c r="BY19"/>
      <c r="BZ19"/>
      <c r="CA19" s="340"/>
      <c r="CB19" s="340"/>
      <c r="CC19" s="341"/>
      <c r="CD19" s="341"/>
      <c r="CE19" s="341"/>
      <c r="CF19" s="341"/>
      <c r="CG19" s="341"/>
      <c r="CH19" s="341"/>
      <c r="CI19" s="341"/>
      <c r="CJ19" s="341"/>
      <c r="CK19" s="341"/>
      <c r="CL19" s="341"/>
      <c r="CM19" s="341"/>
      <c r="CN19" s="341"/>
      <c r="CO19" s="341"/>
      <c r="CP19" s="341"/>
      <c r="CQ19" s="341"/>
    </row>
    <row r="20" spans="1:95" s="77" customFormat="1" ht="74.400000000000006" customHeight="1" thickTop="1" thickBot="1" x14ac:dyDescent="0.35">
      <c r="A20" s="301" t="s">
        <v>459</v>
      </c>
      <c r="B20" s="301"/>
      <c r="C20" s="301"/>
      <c r="D20" s="302"/>
      <c r="E20" s="300"/>
      <c r="F20" s="78" t="s">
        <v>53</v>
      </c>
      <c r="G20" s="287">
        <v>99</v>
      </c>
      <c r="H20" s="288"/>
      <c r="I20" s="288"/>
      <c r="J20" s="288"/>
      <c r="K20" s="288"/>
      <c r="L20" s="288"/>
      <c r="M20" s="288"/>
      <c r="N20" s="292">
        <v>41</v>
      </c>
      <c r="O20" s="293"/>
      <c r="P20" s="280"/>
      <c r="Q20" s="287">
        <v>3</v>
      </c>
      <c r="R20" s="289"/>
      <c r="S20" s="287">
        <v>3</v>
      </c>
      <c r="T20" s="288"/>
      <c r="U20" s="280"/>
      <c r="V20" s="280"/>
      <c r="W20" s="78" t="s">
        <v>53</v>
      </c>
      <c r="X20" s="329">
        <v>119</v>
      </c>
      <c r="Y20" s="330"/>
      <c r="Z20" s="329">
        <v>120</v>
      </c>
      <c r="AA20" s="333"/>
      <c r="AB20" s="333"/>
      <c r="AC20" s="330"/>
      <c r="AD20" s="287">
        <v>20</v>
      </c>
      <c r="AE20" s="289"/>
      <c r="AF20" s="287">
        <v>18</v>
      </c>
      <c r="AG20" s="288"/>
      <c r="AH20" s="288"/>
      <c r="AI20" s="289"/>
      <c r="AJ20" s="287">
        <v>15</v>
      </c>
      <c r="AK20" s="289"/>
      <c r="AL20" s="287">
        <v>15</v>
      </c>
      <c r="AM20" s="289"/>
      <c r="AN20" s="287">
        <v>15</v>
      </c>
      <c r="AO20" s="289"/>
      <c r="AP20" s="280"/>
      <c r="AQ20" s="280"/>
      <c r="AR20" s="287">
        <v>3</v>
      </c>
      <c r="AS20" s="289"/>
      <c r="AT20" s="280"/>
      <c r="AU20" s="335"/>
      <c r="AV20" s="78" t="s">
        <v>53</v>
      </c>
      <c r="AW20" s="292">
        <v>84</v>
      </c>
      <c r="AX20" s="293"/>
      <c r="AY20" s="292">
        <v>49</v>
      </c>
      <c r="AZ20" s="293"/>
      <c r="BA20" s="292">
        <v>37</v>
      </c>
      <c r="BB20" s="294"/>
      <c r="BC20" s="293"/>
      <c r="BD20" s="280"/>
      <c r="BE20" s="292">
        <v>13</v>
      </c>
      <c r="BF20" s="293"/>
      <c r="BG20" s="280"/>
      <c r="BH20" s="280"/>
      <c r="BI20" s="280"/>
      <c r="BJ20" s="78" t="s">
        <v>53</v>
      </c>
      <c r="BK20" s="292">
        <v>33</v>
      </c>
      <c r="BL20" s="293"/>
      <c r="BM20" s="292">
        <v>27</v>
      </c>
      <c r="BN20" s="293"/>
      <c r="BO20" s="292">
        <v>18</v>
      </c>
      <c r="BP20" s="293"/>
      <c r="BQ20" s="280"/>
      <c r="BR20" s="292">
        <v>5</v>
      </c>
      <c r="BS20" s="293"/>
      <c r="BT20"/>
      <c r="BU20"/>
      <c r="BV20"/>
      <c r="BW20"/>
      <c r="BX20"/>
      <c r="BY20"/>
      <c r="BZ20"/>
      <c r="CA20" s="340"/>
      <c r="CB20" s="340"/>
      <c r="CC20" s="341"/>
      <c r="CD20" s="341"/>
      <c r="CE20" s="341"/>
      <c r="CF20" s="341"/>
      <c r="CG20" s="341"/>
      <c r="CH20" s="341"/>
      <c r="CI20" s="341"/>
      <c r="CJ20" s="341"/>
      <c r="CK20" s="341"/>
      <c r="CL20" s="341"/>
      <c r="CM20" s="341"/>
      <c r="CN20" s="341"/>
      <c r="CO20" s="341"/>
      <c r="CP20" s="341"/>
      <c r="CQ20" s="341"/>
    </row>
    <row r="21" spans="1:95" ht="15.6" customHeight="1" thickTop="1" x14ac:dyDescent="0.3"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</row>
    <row r="22" spans="1:95" ht="15.6" customHeight="1" x14ac:dyDescent="0.3">
      <c r="CA22" s="341"/>
      <c r="CB22" s="341"/>
      <c r="CC22" s="341"/>
      <c r="CD22" s="341"/>
      <c r="CE22" s="341"/>
      <c r="CF22" s="341"/>
      <c r="CG22" s="341"/>
      <c r="CH22" s="341"/>
      <c r="CI22" s="341"/>
      <c r="CJ22" s="341"/>
      <c r="CK22" s="341"/>
      <c r="CL22" s="341"/>
      <c r="CM22" s="341"/>
      <c r="CN22" s="341"/>
      <c r="CO22" s="341"/>
      <c r="CP22" s="341"/>
      <c r="CQ22" s="341"/>
    </row>
    <row r="23" spans="1:95" ht="15.6" customHeight="1" x14ac:dyDescent="0.3"/>
    <row r="24" spans="1:95" ht="15.6" customHeight="1" x14ac:dyDescent="0.3"/>
  </sheetData>
  <mergeCells count="81">
    <mergeCell ref="BG19:BG20"/>
    <mergeCell ref="BH19:BH20"/>
    <mergeCell ref="BI19:BI20"/>
    <mergeCell ref="BG2:BG3"/>
    <mergeCell ref="BH2:BH3"/>
    <mergeCell ref="BI2:BI3"/>
    <mergeCell ref="BA2:BC2"/>
    <mergeCell ref="BA20:BC20"/>
    <mergeCell ref="BE2:BF2"/>
    <mergeCell ref="BE20:BF20"/>
    <mergeCell ref="BD19:BD20"/>
    <mergeCell ref="BD2:BD3"/>
    <mergeCell ref="AU2:AU3"/>
    <mergeCell ref="AU19:AU20"/>
    <mergeCell ref="AW20:AX20"/>
    <mergeCell ref="AW2:AX2"/>
    <mergeCell ref="AY2:AZ2"/>
    <mergeCell ref="AY20:AZ20"/>
    <mergeCell ref="AN20:AO20"/>
    <mergeCell ref="AT19:AT20"/>
    <mergeCell ref="AP2:AP3"/>
    <mergeCell ref="AP19:AP20"/>
    <mergeCell ref="AQ2:AQ3"/>
    <mergeCell ref="AQ19:AQ20"/>
    <mergeCell ref="AR2:AS2"/>
    <mergeCell ref="AR20:AS20"/>
    <mergeCell ref="AT2:AT3"/>
    <mergeCell ref="A1:D1"/>
    <mergeCell ref="E1:E3"/>
    <mergeCell ref="F1:F3"/>
    <mergeCell ref="AV1:AV3"/>
    <mergeCell ref="AW1:BI1"/>
    <mergeCell ref="A2:A3"/>
    <mergeCell ref="B2:B3"/>
    <mergeCell ref="C2:C3"/>
    <mergeCell ref="D2:D3"/>
    <mergeCell ref="X1:AU1"/>
    <mergeCell ref="X2:Y2"/>
    <mergeCell ref="Z2:AC2"/>
    <mergeCell ref="AD2:AE2"/>
    <mergeCell ref="AF2:AI2"/>
    <mergeCell ref="A19:D19"/>
    <mergeCell ref="E19:E20"/>
    <mergeCell ref="A20:D20"/>
    <mergeCell ref="X20:Y20"/>
    <mergeCell ref="Z20:AC20"/>
    <mergeCell ref="AD20:AE20"/>
    <mergeCell ref="AF20:AI20"/>
    <mergeCell ref="AJ20:AK20"/>
    <mergeCell ref="BJ1:BJ3"/>
    <mergeCell ref="BK1:BS1"/>
    <mergeCell ref="BK20:BL20"/>
    <mergeCell ref="BK2:BL2"/>
    <mergeCell ref="BM2:BN2"/>
    <mergeCell ref="BM20:BN20"/>
    <mergeCell ref="BO2:BP2"/>
    <mergeCell ref="BO20:BP20"/>
    <mergeCell ref="BQ2:BQ3"/>
    <mergeCell ref="BQ19:BQ20"/>
    <mergeCell ref="BR20:BS20"/>
    <mergeCell ref="BR2:BS2"/>
    <mergeCell ref="G2:M2"/>
    <mergeCell ref="G20:M20"/>
    <mergeCell ref="Q2:R2"/>
    <mergeCell ref="S2:T2"/>
    <mergeCell ref="S20:T20"/>
    <mergeCell ref="Q20:R20"/>
    <mergeCell ref="P2:P3"/>
    <mergeCell ref="P19:P20"/>
    <mergeCell ref="N2:O2"/>
    <mergeCell ref="N20:O20"/>
    <mergeCell ref="U2:U3"/>
    <mergeCell ref="AJ2:AK2"/>
    <mergeCell ref="AL20:AM20"/>
    <mergeCell ref="AL2:AM2"/>
    <mergeCell ref="AN2:AO2"/>
    <mergeCell ref="V2:V3"/>
    <mergeCell ref="U19:U20"/>
    <mergeCell ref="V19:V20"/>
    <mergeCell ref="G1:V1"/>
    <mergeCell ref="W1:W3"/>
  </mergeCells>
  <conditionalFormatting sqref="A4:A11 A13 A15:A18">
    <cfRule type="colorScale" priority="1">
      <colorScale>
        <cfvo type="min"/>
        <cfvo type="max"/>
        <color rgb="FF63BE7B"/>
        <color rgb="FFFCFCFF"/>
      </colorScale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{D0841FF9-F694-4B2D-B832-22D4094EE3E5}</x14:id>
        </ext>
      </extLst>
    </cfRule>
  </conditionalFormatting>
  <hyperlinks>
    <hyperlink ref="D18" r:id="rId1" display="https://archive.org/details/throughspainreco00dickrich/page/n13/mode/2up" xr:uid="{CCB67ACE-A204-43FB-8444-5AA93CE4A605}"/>
    <hyperlink ref="D17" r:id="rId2" display="https://www.gutenberg.org/ebooks/7430" xr:uid="{804E9899-3BD1-4C3D-9B4A-56B4F0ABA281}"/>
    <hyperlink ref="D16" r:id="rId3" display="https://www.gutenberg.org/ebooks/40201" xr:uid="{5A473937-3670-439C-ACE0-CE7DE6666767}"/>
    <hyperlink ref="D10" r:id="rId4" display="https://archive.org/details/sunshadowinspain00elliuoft" xr:uid="{8EDCB93E-440D-403D-91EB-51C2E5F74AF1}"/>
    <hyperlink ref="D8" r:id="rId5" display="https://www.gutenberg.org/ebooks/27252" xr:uid="{6383E9F9-2170-41E5-8E89-361C155ECE58}"/>
    <hyperlink ref="D7" r:id="rId6" display="https://archive.org/details/atrampinspain00unkngoog/page/n8/mode/2up" xr:uid="{53C0910F-D4AB-4EA1-A7AF-FAFB43449F0A}"/>
    <hyperlink ref="D6" r:id="rId7" display="https://www.gutenberg.org/ebooks/59944" xr:uid="{D24C30E7-3DAA-4116-B9D7-330A4E10D6B1}"/>
    <hyperlink ref="D4" r:id="rId8" display="https://www.gutenberg.org/ebooks/38767" xr:uid="{FC69E107-929A-479D-B735-1F00E9273D1C}"/>
    <hyperlink ref="D9" r:id="rId9" display="https://www.gutenberg.org/ebooks/37944" xr:uid="{FF038137-CFBD-464F-A93D-CD194A12CC4A}"/>
    <hyperlink ref="D13" r:id="rId10" display="https://www.gutenberg.org/ebooks/41593" xr:uid="{91F81F8B-D9E1-40D0-908D-8025A0B82C0D}"/>
    <hyperlink ref="D11" r:id="rId11" display="https://www.gutenberg.org/ebooks/40356" xr:uid="{E71815B4-17F3-4922-ADC8-0B93EBE22211}"/>
    <hyperlink ref="D5" r:id="rId12" display="https://archive.org/details/landofdons00will/page/n19/mode/2up" xr:uid="{8C7D4EE3-8624-491C-AC11-0E5C0E4F2F1C}"/>
    <hyperlink ref="D15" r:id="rId13" display="https://www.gutenberg.org/ebooks/40357" xr:uid="{5F39D78D-45D0-4705-9976-B8E100D7CBCA}"/>
    <hyperlink ref="D12" r:id="rId14" display="https://archive.org/details/spainoftodaynarr00shaw/page/n11/mode/2up" xr:uid="{F579B981-4A8D-4D5C-840E-3D3289E5C17D}"/>
    <hyperlink ref="D14" r:id="rId15" display="https://www.gutenberg.org/ebooks/author/39917" xr:uid="{5B0FC47C-BF37-4F7D-B3D4-6C59B47A37C0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41FF9-F694-4B2D-B832-22D4094EE3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A4:A11 A13 A15:A18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personalidad y general</vt:lpstr>
      <vt:lpstr>oficios</vt:lpstr>
      <vt:lpstr>gentilicios y grupos sociales</vt:lpstr>
      <vt:lpstr>actividades y fiestas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</cp:lastModifiedBy>
  <dcterms:created xsi:type="dcterms:W3CDTF">2015-06-05T18:19:34Z</dcterms:created>
  <dcterms:modified xsi:type="dcterms:W3CDTF">2026-05-16T10:51:19Z</dcterms:modified>
</cp:coreProperties>
</file>