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nio\Desktop\"/>
    </mc:Choice>
  </mc:AlternateContent>
  <xr:revisionPtr revIDLastSave="0" documentId="13_ncr:1_{0CBDADA4-885D-4C10-8499-7818C7AE63E9}" xr6:coauthVersionLast="47" xr6:coauthVersionMax="47" xr10:uidLastSave="{00000000-0000-0000-0000-000000000000}"/>
  <bookViews>
    <workbookView xWindow="-108" yWindow="-108" windowWidth="23256" windowHeight="12456" tabRatio="539" xr2:uid="{00000000-000D-0000-FFFF-FFFF00000000}"/>
  </bookViews>
  <sheets>
    <sheet name="RELACIÓN GENERAL" sheetId="1" r:id="rId1"/>
    <sheet name="Hoja1" sheetId="3" r:id="rId2"/>
    <sheet name="TOP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Q18" i="1"/>
  <c r="R18" i="1"/>
  <c r="G18" i="1"/>
  <c r="AL18" i="1"/>
  <c r="AK18" i="1"/>
  <c r="AJ18" i="1"/>
  <c r="AI18" i="1"/>
  <c r="AH18" i="1"/>
  <c r="S18" i="1"/>
  <c r="K18" i="1"/>
  <c r="L18" i="1"/>
  <c r="M18" i="1"/>
  <c r="N18" i="1"/>
  <c r="O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</calcChain>
</file>

<file path=xl/sharedStrings.xml><?xml version="1.0" encoding="utf-8"?>
<sst xmlns="http://schemas.openxmlformats.org/spreadsheetml/2006/main" count="116" uniqueCount="85">
  <si>
    <t>Gutenberg</t>
  </si>
  <si>
    <t>Internet archive</t>
  </si>
  <si>
    <t>Southern Spain</t>
  </si>
  <si>
    <t>Sun and Shadow in Spain</t>
  </si>
  <si>
    <t>Spain of to-day: a narrative guide to the country of the dons with suggestions for travellers</t>
  </si>
  <si>
    <t>Unexplored Spain</t>
  </si>
  <si>
    <t>Four months afoot in Spain</t>
  </si>
  <si>
    <t>Things seen in Spain</t>
  </si>
  <si>
    <t>Family spanish travel</t>
  </si>
  <si>
    <t>Thorugh Spain</t>
  </si>
  <si>
    <t>TÍTULO</t>
  </si>
  <si>
    <t>AÑO</t>
  </si>
  <si>
    <t>Impressions of Spain</t>
  </si>
  <si>
    <t>RELATOS DE VIAJES ANGLOSAJONES (1900-1914)</t>
  </si>
  <si>
    <t>Albert Frederick Calvert (1872-1946, UK)</t>
  </si>
  <si>
    <t>REPOSITORIO</t>
  </si>
  <si>
    <r>
      <t xml:space="preserve">Howells William Dean (1837-1920,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</si>
  <si>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AUTOR (fecha y nacionalidad angosajona)</t>
  </si>
  <si>
    <t xml:space="preserve">The land of the blessed virgin: sketches and impressions in Andalusia </t>
  </si>
  <si>
    <t>A tramp in Spain: from Andalusia to Andorra</t>
  </si>
  <si>
    <r>
      <t xml:space="preserve">Maude Howe Elliot (1854-1948,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</si>
  <si>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Duncan Dickinson ¿fecha de nacimiento y muerte? (UK)</t>
  </si>
  <si>
    <r>
      <t xml:space="preserve">Harry Alverson Franck (1881-1962,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</si>
  <si>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r>
      <t xml:space="preserve">Joseph Thompson Shaw (1874-1952,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</si>
  <si>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 xml:space="preserve">Bart Kennedy (1861-1930, UK) </t>
  </si>
  <si>
    <t>Maugham William Somerset (1874-1965, FRA/UK)</t>
  </si>
  <si>
    <t>Williams Leonard (1871-1934, UK)</t>
  </si>
  <si>
    <t xml:space="preserve">Abel Chapman (1851-1929, UK) y John Walter Buck (1843-1917 USA/UK) </t>
  </si>
  <si>
    <t xml:space="preserve">Catherine Gasquoine Hartley (1874-1921, Madagascar/UK) </t>
  </si>
  <si>
    <t>Cathedral cities of Spain</t>
  </si>
  <si>
    <t>The land of the Dons</t>
  </si>
  <si>
    <t xml:space="preserve"> Internet archive</t>
  </si>
  <si>
    <t>Collins, William Wiehe (1837, 1920, UK)</t>
  </si>
  <si>
    <r>
      <t xml:space="preserve">Bates, Katharine Lee (1859-1929,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</si>
  <si>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r>
      <rPr>
        <sz val="12"/>
        <color theme="1"/>
        <rFont val="Calibri"/>
        <family val="2"/>
        <scheme val="minor"/>
      </rPr>
      <t xml:space="preserve">Elizabeth Boyle O`Reilly (1874-1922, </t>
    </r>
    <r>
      <rPr>
        <b/>
        <sz val="12"/>
        <color theme="1"/>
        <rFont val="Calibri"/>
        <family val="2"/>
        <scheme val="minor"/>
      </rPr>
      <t>USA)</t>
    </r>
  </si>
  <si>
    <t xml:space="preserve"> Gutenberg </t>
  </si>
  <si>
    <t>Heroic  Spain</t>
  </si>
  <si>
    <t xml:space="preserve">Spanish Highway and Byways </t>
  </si>
  <si>
    <t>METADATOS</t>
  </si>
  <si>
    <t>MENCIONES</t>
  </si>
  <si>
    <t xml:space="preserve">METADATOS </t>
  </si>
  <si>
    <t>ANDALUCÍA METADATOS</t>
  </si>
  <si>
    <t>ANDALUCÍA MENCIONES</t>
  </si>
  <si>
    <t>CAPITALES METADATOS</t>
  </si>
  <si>
    <t>CAPITALES MENCIONES</t>
  </si>
  <si>
    <t>MUNICIPIOS METADATOS</t>
  </si>
  <si>
    <t>MUNICPIOS MENCIONES</t>
  </si>
  <si>
    <t>ESPACIOS PÚBLICOS METADATOS</t>
  </si>
  <si>
    <t>ESPACIOS PÚBLICOS MENCIONES</t>
  </si>
  <si>
    <t>CONSUMO Y VAIJE METADATOS</t>
  </si>
  <si>
    <t>CONSUMO Y VIAJE MENCIONES</t>
  </si>
  <si>
    <t>GENTILICIOS Y GRUPOS SOCIALES METADATOS</t>
  </si>
  <si>
    <t>GENTILICIOS Y GRUPOS SOCIALES MENCIONES</t>
  </si>
  <si>
    <t>ACTIVIDADES Y FIESTAS METADATOS</t>
  </si>
  <si>
    <t>ACTIVIDADES Y FIESTAS MENCIONES</t>
  </si>
  <si>
    <t>TOTALES</t>
  </si>
  <si>
    <t>TOTALES por periodos</t>
  </si>
  <si>
    <t>TOTALES A LA DERECHA</t>
  </si>
  <si>
    <t>1. LOCALIDADES</t>
  </si>
  <si>
    <t>2. PATRIMONIO MATERIAL</t>
  </si>
  <si>
    <t>3. PATRIMONIO INMATERIAL</t>
  </si>
  <si>
    <t>1.LOCALIDADES (Desglose)</t>
  </si>
  <si>
    <t>OFICIO MENCIONES</t>
  </si>
  <si>
    <t>PERSONALIDAD Y GENERAL MENCIONES</t>
  </si>
  <si>
    <t>ESPACIO NATURAL MENCIONES</t>
  </si>
  <si>
    <t>ESPACIO NATURAL METADATOS</t>
  </si>
  <si>
    <t>OFICIO METADATOS</t>
  </si>
  <si>
    <t>PERSONALIDAD y GENERAL METADATOS</t>
  </si>
  <si>
    <t>MONUMENTO METADATOS</t>
  </si>
  <si>
    <t>MONUMENTO MENCIONES</t>
  </si>
  <si>
    <t>C</t>
  </si>
  <si>
    <t>A</t>
  </si>
  <si>
    <t>T</t>
  </si>
  <si>
    <t>E</t>
  </si>
  <si>
    <t>G</t>
  </si>
  <si>
    <t>R</t>
  </si>
  <si>
    <t>I</t>
  </si>
  <si>
    <t>S</t>
  </si>
  <si>
    <t>O</t>
  </si>
  <si>
    <t>SUB</t>
  </si>
  <si>
    <t xml:space="preserve">T </t>
  </si>
  <si>
    <t>Todos los totales tienen fondo y negrita</t>
  </si>
  <si>
    <t>2. PATRIMONIO MATERIAL (desglose)</t>
  </si>
  <si>
    <t>3. PATRIMONIO INMATERIAL (desglose)</t>
  </si>
  <si>
    <t>Con fondo oscuro las tres menciones más altas por metadato entre los 15 relatos. Más negrita, la mención más 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</si>
</sst>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name val="Calibri"/>
      <family val="2"/>
      <scheme val="minor"/>
    </font>
    <font>
      <sz val="12"/>
      <color theme="8" tint="0.59999389629810485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/>
      <right style="thin">
        <color auto="1"/>
      </right>
      <top style="thin">
        <color auto="1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auto="1"/>
      </left>
      <right/>
      <top style="thin">
        <color auto="1"/>
      </top>
      <bottom style="thick">
        <color indexed="64"/>
      </bottom>
      <diagonal/>
    </border>
    <border>
      <left/>
      <right/>
      <top style="thin">
        <color auto="1"/>
      </top>
      <bottom style="thick">
        <color indexed="64"/>
      </bottom>
      <diagonal/>
    </border>
    <border>
      <left style="thin">
        <color auto="1"/>
      </left>
      <right/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ck">
        <color indexed="64"/>
      </left>
      <right/>
      <top style="thin">
        <color auto="1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auto="1"/>
      </right>
      <top/>
      <bottom style="thin">
        <color indexed="64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/>
      <bottom style="thin">
        <color indexed="64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 style="thick">
        <color indexed="64"/>
      </left>
      <right/>
      <top style="thin">
        <color auto="1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auto="1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1" fillId="8" borderId="11" xfId="1" applyFont="1" applyFill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5" fillId="0" borderId="27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5" fillId="9" borderId="29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20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10" borderId="18" xfId="0" applyFont="1" applyFill="1" applyBorder="1" applyAlignment="1">
      <alignment horizontal="center" vertical="center"/>
    </xf>
    <xf numFmtId="0" fontId="11" fillId="10" borderId="16" xfId="1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5" fillId="11" borderId="18" xfId="0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 wrapText="1"/>
    </xf>
    <xf numFmtId="0" fontId="5" fillId="11" borderId="18" xfId="0" applyFont="1" applyFill="1" applyBorder="1" applyAlignment="1">
      <alignment horizontal="center" vertical="center" wrapText="1"/>
    </xf>
    <xf numFmtId="0" fontId="12" fillId="11" borderId="21" xfId="0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5" fillId="9" borderId="24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 wrapText="1"/>
    </xf>
    <xf numFmtId="0" fontId="6" fillId="8" borderId="3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6" fillId="10" borderId="20" xfId="1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/>
    </xf>
    <xf numFmtId="0" fontId="2" fillId="15" borderId="3" xfId="0" applyFont="1" applyFill="1" applyBorder="1" applyAlignment="1">
      <alignment horizontal="center" vertical="center" wrapText="1"/>
    </xf>
    <xf numFmtId="0" fontId="2" fillId="9" borderId="24" xfId="0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2" fillId="10" borderId="21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2" fillId="3" borderId="32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12" fillId="5" borderId="31" xfId="0" applyFont="1" applyFill="1" applyBorder="1" applyAlignment="1">
      <alignment horizontal="center" vertical="center"/>
    </xf>
    <xf numFmtId="0" fontId="12" fillId="9" borderId="30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6" fillId="10" borderId="19" xfId="1" applyFont="1" applyFill="1" applyBorder="1" applyAlignment="1">
      <alignment horizontal="center" vertical="center" wrapText="1"/>
    </xf>
    <xf numFmtId="0" fontId="2" fillId="11" borderId="1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11" borderId="19" xfId="0" applyFont="1" applyFill="1" applyBorder="1" applyAlignment="1">
      <alignment horizontal="center" vertical="center" wrapText="1"/>
    </xf>
    <xf numFmtId="0" fontId="2" fillId="9" borderId="23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11" borderId="20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1" borderId="2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15" fillId="7" borderId="38" xfId="0" applyFont="1" applyFill="1" applyBorder="1" applyAlignment="1">
      <alignment vertical="center" textRotation="255" wrapText="1"/>
    </xf>
    <xf numFmtId="0" fontId="15" fillId="7" borderId="34" xfId="0" applyFont="1" applyFill="1" applyBorder="1" applyAlignment="1">
      <alignment vertical="center" textRotation="255" wrapText="1"/>
    </xf>
    <xf numFmtId="0" fontId="15" fillId="7" borderId="37" xfId="0" applyFont="1" applyFill="1" applyBorder="1" applyAlignment="1">
      <alignment vertical="center" textRotation="255" wrapText="1"/>
    </xf>
    <xf numFmtId="0" fontId="15" fillId="7" borderId="36" xfId="0" applyFont="1" applyFill="1" applyBorder="1" applyAlignment="1">
      <alignment vertical="center" textRotation="255" wrapText="1"/>
    </xf>
    <xf numFmtId="0" fontId="5" fillId="0" borderId="37" xfId="0" applyFont="1" applyBorder="1" applyAlignment="1">
      <alignment horizontal="center" vertical="center" wrapText="1"/>
    </xf>
    <xf numFmtId="0" fontId="5" fillId="7" borderId="34" xfId="0" applyFont="1" applyFill="1" applyBorder="1" applyAlignment="1">
      <alignment horizontal="center" vertical="center" textRotation="255" wrapText="1"/>
    </xf>
    <xf numFmtId="0" fontId="12" fillId="5" borderId="23" xfId="0" applyFont="1" applyFill="1" applyBorder="1" applyAlignment="1">
      <alignment horizontal="center" vertical="center"/>
    </xf>
    <xf numFmtId="0" fontId="12" fillId="5" borderId="30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4" borderId="40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2" fillId="4" borderId="41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2" fillId="4" borderId="42" xfId="0" applyFont="1" applyFill="1" applyBorder="1" applyAlignment="1">
      <alignment horizontal="center" vertical="center"/>
    </xf>
    <xf numFmtId="0" fontId="12" fillId="5" borderId="4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12" fillId="5" borderId="29" xfId="0" applyFont="1" applyFill="1" applyBorder="1" applyAlignment="1">
      <alignment horizontal="center" vertical="center"/>
    </xf>
    <xf numFmtId="0" fontId="5" fillId="11" borderId="40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/>
    </xf>
    <xf numFmtId="0" fontId="5" fillId="11" borderId="42" xfId="0" applyFont="1" applyFill="1" applyBorder="1" applyAlignment="1">
      <alignment horizontal="center" vertical="center" wrapText="1"/>
    </xf>
    <xf numFmtId="0" fontId="2" fillId="9" borderId="25" xfId="0" applyFont="1" applyFill="1" applyBorder="1" applyAlignment="1">
      <alignment horizontal="center" vertical="center" wrapText="1"/>
    </xf>
    <xf numFmtId="0" fontId="12" fillId="11" borderId="44" xfId="0" applyFont="1" applyFill="1" applyBorder="1" applyAlignment="1">
      <alignment horizontal="center" vertical="center"/>
    </xf>
    <xf numFmtId="0" fontId="12" fillId="9" borderId="43" xfId="0" applyFont="1" applyFill="1" applyBorder="1" applyAlignment="1">
      <alignment horizontal="center" vertical="center"/>
    </xf>
    <xf numFmtId="0" fontId="5" fillId="11" borderId="19" xfId="0" applyFont="1" applyFill="1" applyBorder="1" applyAlignment="1">
      <alignment horizontal="center" vertical="center" wrapText="1"/>
    </xf>
    <xf numFmtId="0" fontId="5" fillId="11" borderId="20" xfId="0" applyFont="1" applyFill="1" applyBorder="1" applyAlignment="1">
      <alignment horizontal="center" vertical="center" wrapText="1"/>
    </xf>
    <xf numFmtId="0" fontId="5" fillId="3" borderId="40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12" fillId="3" borderId="42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20" xfId="1" applyFont="1" applyFill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5" fillId="13" borderId="17" xfId="0" applyFont="1" applyFill="1" applyBorder="1" applyAlignment="1">
      <alignment horizontal="center" vertical="center"/>
    </xf>
    <xf numFmtId="0" fontId="5" fillId="13" borderId="12" xfId="0" applyFont="1" applyFill="1" applyBorder="1" applyAlignment="1">
      <alignment horizontal="center" vertical="center"/>
    </xf>
    <xf numFmtId="0" fontId="5" fillId="13" borderId="22" xfId="0" applyFont="1" applyFill="1" applyBorder="1" applyAlignment="1">
      <alignment horizontal="center" vertical="center"/>
    </xf>
    <xf numFmtId="0" fontId="5" fillId="12" borderId="17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 vertical="center"/>
    </xf>
    <xf numFmtId="0" fontId="5" fillId="12" borderId="22" xfId="0" applyFont="1" applyFill="1" applyBorder="1" applyAlignment="1">
      <alignment horizontal="center" vertical="center"/>
    </xf>
    <xf numFmtId="0" fontId="5" fillId="16" borderId="17" xfId="0" applyFont="1" applyFill="1" applyBorder="1" applyAlignment="1">
      <alignment horizontal="center" vertical="center"/>
    </xf>
    <xf numFmtId="0" fontId="5" fillId="16" borderId="12" xfId="0" applyFont="1" applyFill="1" applyBorder="1" applyAlignment="1">
      <alignment horizontal="center" vertical="center"/>
    </xf>
    <xf numFmtId="0" fontId="5" fillId="16" borderId="2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14" borderId="17" xfId="0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horizontal="center" vertical="center"/>
    </xf>
    <xf numFmtId="0" fontId="5" fillId="14" borderId="22" xfId="0" applyFont="1" applyFill="1" applyBorder="1" applyAlignment="1">
      <alignment horizontal="center" vertical="center"/>
    </xf>
    <xf numFmtId="0" fontId="6" fillId="0" borderId="32" xfId="1" applyFont="1" applyBorder="1" applyAlignment="1">
      <alignment horizontal="center" vertical="center" wrapText="1"/>
    </xf>
    <xf numFmtId="0" fontId="6" fillId="0" borderId="20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31" xfId="1" applyFont="1" applyBorder="1" applyAlignment="1">
      <alignment horizontal="center" vertical="center" wrapText="1"/>
    </xf>
    <xf numFmtId="0" fontId="6" fillId="0" borderId="24" xfId="1" applyFont="1" applyBorder="1" applyAlignment="1">
      <alignment horizontal="center" vertical="center" wrapText="1"/>
    </xf>
    <xf numFmtId="0" fontId="6" fillId="0" borderId="25" xfId="1" applyFont="1" applyBorder="1" applyAlignment="1">
      <alignment horizontal="center" vertical="center" wrapText="1"/>
    </xf>
    <xf numFmtId="0" fontId="11" fillId="10" borderId="19" xfId="1" applyFont="1" applyFill="1" applyBorder="1" applyAlignment="1">
      <alignment horizontal="center" vertical="center" wrapText="1"/>
    </xf>
    <xf numFmtId="0" fontId="11" fillId="10" borderId="20" xfId="1" applyFont="1" applyFill="1" applyBorder="1" applyAlignment="1">
      <alignment horizontal="center" vertical="center" wrapText="1"/>
    </xf>
    <xf numFmtId="0" fontId="11" fillId="8" borderId="23" xfId="1" applyFont="1" applyFill="1" applyBorder="1" applyAlignment="1">
      <alignment horizontal="center" vertical="center" wrapText="1"/>
    </xf>
    <xf numFmtId="0" fontId="11" fillId="8" borderId="24" xfId="1" applyFont="1" applyFill="1" applyBorder="1" applyAlignment="1">
      <alignment horizontal="center" vertical="center" wrapText="1"/>
    </xf>
    <xf numFmtId="0" fontId="12" fillId="7" borderId="33" xfId="0" applyFont="1" applyFill="1" applyBorder="1" applyAlignment="1">
      <alignment horizontal="center" vertical="center"/>
    </xf>
    <xf numFmtId="0" fontId="12" fillId="7" borderId="39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4035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archive.org/details/landofdons00will/page/n19/mode/2up" TargetMode="External"/><Relationship Id="rId2" Type="http://schemas.openxmlformats.org/officeDocument/2006/relationships/hyperlink" Target="https://www.gutenberg.org/ebooks/7430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www.gutenberg.org/ebooks/40356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author/39917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"/>
  <sheetViews>
    <sheetView tabSelected="1" topLeftCell="P1" zoomScale="40" zoomScaleNormal="40" workbookViewId="0">
      <selection sqref="A1:D1"/>
    </sheetView>
  </sheetViews>
  <sheetFormatPr baseColWidth="10" defaultColWidth="8.88671875" defaultRowHeight="15.6" x14ac:dyDescent="0.3"/>
  <cols>
    <col min="1" max="1" width="77.5546875" style="8" customWidth="1"/>
    <col min="2" max="2" width="53.109375" style="2" customWidth="1"/>
    <col min="3" max="3" width="12.88671875" style="2" customWidth="1"/>
    <col min="4" max="8" width="23.5546875" style="2" customWidth="1"/>
    <col min="9" max="9" width="38.44140625" style="2" customWidth="1"/>
    <col min="10" max="10" width="19" style="2" customWidth="1"/>
    <col min="11" max="11" width="19.109375" style="2" customWidth="1"/>
    <col min="12" max="12" width="17.88671875" style="2" customWidth="1"/>
    <col min="13" max="13" width="19.109375" style="2" customWidth="1"/>
    <col min="14" max="14" width="18.6640625" style="2" customWidth="1"/>
    <col min="15" max="15" width="23.77734375" style="2" customWidth="1"/>
    <col min="16" max="16" width="36" style="2" customWidth="1"/>
    <col min="17" max="17" width="20.44140625" style="2" customWidth="1"/>
    <col min="18" max="18" width="19.33203125" style="2" customWidth="1"/>
    <col min="19" max="20" width="20.6640625" style="2" customWidth="1"/>
    <col min="21" max="21" width="21.77734375" style="2" customWidth="1"/>
    <col min="22" max="22" width="20.6640625" style="2" customWidth="1"/>
    <col min="23" max="23" width="20.44140625" style="2" customWidth="1"/>
    <col min="24" max="25" width="19.109375" style="2" customWidth="1"/>
    <col min="26" max="26" width="18" style="2" customWidth="1"/>
    <col min="27" max="27" width="23.109375" style="2" customWidth="1"/>
    <col min="28" max="28" width="20.88671875" style="2" customWidth="1"/>
    <col min="29" max="29" width="21.109375" style="2" customWidth="1"/>
    <col min="30" max="30" width="19.109375" style="2" customWidth="1"/>
    <col min="31" max="31" width="23.77734375" style="2" customWidth="1"/>
    <col min="32" max="32" width="23.6640625" style="2" customWidth="1"/>
    <col min="33" max="33" width="22.77734375" style="2" customWidth="1"/>
    <col min="34" max="34" width="20.6640625" style="2" customWidth="1"/>
    <col min="35" max="35" width="27.44140625" style="2" customWidth="1"/>
    <col min="36" max="36" width="28.88671875" style="2" customWidth="1"/>
    <col min="37" max="37" width="28.6640625" style="2" customWidth="1"/>
    <col min="38" max="38" width="24.109375" style="2" customWidth="1"/>
    <col min="39" max="39" width="17.77734375" style="2" customWidth="1"/>
    <col min="40" max="40" width="25.5546875" style="2" customWidth="1"/>
    <col min="41" max="41" width="17.109375" style="2" customWidth="1"/>
    <col min="42" max="42" width="46.6640625" style="2" customWidth="1"/>
    <col min="43" max="43" width="33.109375" style="2" customWidth="1"/>
    <col min="44" max="44" width="23.109375" style="2" customWidth="1"/>
    <col min="45" max="45" width="21.77734375" style="2" customWidth="1"/>
    <col min="46" max="46" width="25.21875" style="2" customWidth="1"/>
    <col min="47" max="47" width="17.77734375" style="2" customWidth="1"/>
    <col min="48" max="16384" width="8.88671875" style="2"/>
  </cols>
  <sheetData>
    <row r="1" spans="1:48" s="19" customFormat="1" ht="60.6" customHeight="1" thickBot="1" x14ac:dyDescent="0.35">
      <c r="A1" s="211" t="s">
        <v>13</v>
      </c>
      <c r="B1" s="212"/>
      <c r="C1" s="212"/>
      <c r="D1" s="212"/>
      <c r="E1" s="213" t="s">
        <v>56</v>
      </c>
      <c r="F1" s="215"/>
      <c r="G1" s="213" t="s">
        <v>55</v>
      </c>
      <c r="H1" s="214"/>
      <c r="I1" s="199" t="s">
        <v>84</v>
      </c>
      <c r="J1" s="207" t="s">
        <v>58</v>
      </c>
      <c r="K1" s="208"/>
      <c r="L1" s="201" t="s">
        <v>59</v>
      </c>
      <c r="M1" s="203"/>
      <c r="N1" s="204" t="s">
        <v>60</v>
      </c>
      <c r="O1" s="205"/>
      <c r="P1" s="199" t="s">
        <v>84</v>
      </c>
      <c r="Q1" s="207" t="s">
        <v>61</v>
      </c>
      <c r="R1" s="208"/>
      <c r="S1" s="208"/>
      <c r="T1" s="208"/>
      <c r="U1" s="208"/>
      <c r="V1" s="209"/>
      <c r="W1" s="201" t="s">
        <v>82</v>
      </c>
      <c r="X1" s="202"/>
      <c r="Y1" s="202"/>
      <c r="Z1" s="202"/>
      <c r="AA1" s="202"/>
      <c r="AB1" s="202"/>
      <c r="AC1" s="202"/>
      <c r="AD1" s="203"/>
      <c r="AE1" s="204" t="s">
        <v>83</v>
      </c>
      <c r="AF1" s="205"/>
      <c r="AG1" s="205"/>
      <c r="AH1" s="205"/>
      <c r="AI1" s="205"/>
      <c r="AJ1" s="205"/>
      <c r="AK1" s="205"/>
      <c r="AL1" s="206"/>
      <c r="AM1" s="47"/>
      <c r="AN1" s="45"/>
      <c r="AO1" s="45"/>
      <c r="AP1" s="2"/>
      <c r="AQ1" s="2"/>
      <c r="AR1" s="46"/>
      <c r="AS1" s="46"/>
      <c r="AT1" s="2"/>
      <c r="AU1" s="2"/>
      <c r="AV1" s="2"/>
    </row>
    <row r="2" spans="1:48" s="24" customFormat="1" ht="54" customHeight="1" thickTop="1" thickBot="1" x14ac:dyDescent="0.35">
      <c r="A2" s="20" t="s">
        <v>17</v>
      </c>
      <c r="B2" s="21" t="s">
        <v>10</v>
      </c>
      <c r="C2" s="22" t="s">
        <v>11</v>
      </c>
      <c r="D2" s="22" t="s">
        <v>15</v>
      </c>
      <c r="E2" s="83" t="s">
        <v>38</v>
      </c>
      <c r="F2" s="57" t="s">
        <v>39</v>
      </c>
      <c r="G2" s="83" t="s">
        <v>38</v>
      </c>
      <c r="H2" s="145" t="s">
        <v>39</v>
      </c>
      <c r="I2" s="200"/>
      <c r="J2" s="81" t="s">
        <v>38</v>
      </c>
      <c r="K2" s="56" t="s">
        <v>39</v>
      </c>
      <c r="L2" s="85" t="s">
        <v>38</v>
      </c>
      <c r="M2" s="60" t="s">
        <v>39</v>
      </c>
      <c r="N2" s="87" t="s">
        <v>40</v>
      </c>
      <c r="O2" s="144" t="s">
        <v>39</v>
      </c>
      <c r="P2" s="200"/>
      <c r="Q2" s="89" t="s">
        <v>41</v>
      </c>
      <c r="R2" s="59" t="s">
        <v>42</v>
      </c>
      <c r="S2" s="186" t="s">
        <v>43</v>
      </c>
      <c r="T2" s="68" t="s">
        <v>44</v>
      </c>
      <c r="U2" s="195" t="s">
        <v>45</v>
      </c>
      <c r="V2" s="59" t="s">
        <v>46</v>
      </c>
      <c r="W2" s="91" t="s">
        <v>68</v>
      </c>
      <c r="X2" s="23" t="s">
        <v>69</v>
      </c>
      <c r="Y2" s="161" t="s">
        <v>47</v>
      </c>
      <c r="Z2" s="58" t="s">
        <v>48</v>
      </c>
      <c r="AA2" s="161" t="s">
        <v>49</v>
      </c>
      <c r="AB2" s="58" t="s">
        <v>50</v>
      </c>
      <c r="AC2" s="155" t="s">
        <v>65</v>
      </c>
      <c r="AD2" s="58" t="s">
        <v>64</v>
      </c>
      <c r="AE2" s="92" t="s">
        <v>67</v>
      </c>
      <c r="AF2" s="71" t="s">
        <v>63</v>
      </c>
      <c r="AG2" s="180" t="s">
        <v>66</v>
      </c>
      <c r="AH2" s="72" t="s">
        <v>62</v>
      </c>
      <c r="AI2" s="171" t="s">
        <v>51</v>
      </c>
      <c r="AJ2" s="71" t="s">
        <v>52</v>
      </c>
      <c r="AK2" s="180" t="s">
        <v>53</v>
      </c>
      <c r="AL2" s="72" t="s">
        <v>54</v>
      </c>
      <c r="AM2" s="48"/>
      <c r="AN2" s="6"/>
      <c r="AO2" s="6"/>
      <c r="AP2" s="2"/>
      <c r="AQ2" s="2"/>
      <c r="AR2" s="2"/>
      <c r="AS2" s="2"/>
      <c r="AT2" s="2"/>
      <c r="AU2" s="2"/>
      <c r="AV2" s="2"/>
    </row>
    <row r="3" spans="1:48" ht="41.4" customHeight="1" thickTop="1" x14ac:dyDescent="0.3">
      <c r="A3" s="11" t="s">
        <v>33</v>
      </c>
      <c r="B3" s="12" t="s">
        <v>37</v>
      </c>
      <c r="C3" s="13">
        <v>1900</v>
      </c>
      <c r="D3" s="40" t="s">
        <v>0</v>
      </c>
      <c r="E3" s="216">
        <v>1113</v>
      </c>
      <c r="F3" s="219">
        <v>6523</v>
      </c>
      <c r="G3" s="126">
        <v>262</v>
      </c>
      <c r="H3" s="75">
        <v>1566</v>
      </c>
      <c r="I3" s="146"/>
      <c r="J3" s="30">
        <v>12</v>
      </c>
      <c r="K3" s="5">
        <v>194</v>
      </c>
      <c r="L3" s="98">
        <v>122</v>
      </c>
      <c r="M3" s="37">
        <v>612</v>
      </c>
      <c r="N3" s="127">
        <v>128</v>
      </c>
      <c r="O3" s="5">
        <v>760</v>
      </c>
      <c r="P3" s="146"/>
      <c r="Q3" s="65">
        <v>1</v>
      </c>
      <c r="R3" s="191">
        <v>26</v>
      </c>
      <c r="S3" s="158">
        <v>5</v>
      </c>
      <c r="T3" s="128">
        <v>149</v>
      </c>
      <c r="U3" s="30">
        <v>6</v>
      </c>
      <c r="V3" s="37">
        <v>19</v>
      </c>
      <c r="W3" s="30">
        <v>28</v>
      </c>
      <c r="X3" s="5">
        <v>181</v>
      </c>
      <c r="Y3" s="137">
        <v>30</v>
      </c>
      <c r="Z3" s="37">
        <v>164</v>
      </c>
      <c r="AA3" s="98">
        <v>50</v>
      </c>
      <c r="AB3" s="37">
        <v>207</v>
      </c>
      <c r="AC3" s="158">
        <v>14</v>
      </c>
      <c r="AD3" s="37">
        <v>60</v>
      </c>
      <c r="AE3" s="129">
        <v>66</v>
      </c>
      <c r="AF3" s="113">
        <v>434</v>
      </c>
      <c r="AG3" s="50">
        <v>14</v>
      </c>
      <c r="AH3" s="51">
        <v>39</v>
      </c>
      <c r="AI3" s="197">
        <v>22</v>
      </c>
      <c r="AJ3" s="69">
        <v>135</v>
      </c>
      <c r="AK3" s="184">
        <v>26</v>
      </c>
      <c r="AL3" s="130">
        <v>152</v>
      </c>
      <c r="AM3" s="49"/>
      <c r="AN3" s="6"/>
      <c r="AO3" s="6"/>
    </row>
    <row r="4" spans="1:48" ht="43.2" customHeight="1" x14ac:dyDescent="0.3">
      <c r="A4" s="8" t="s">
        <v>26</v>
      </c>
      <c r="B4" s="9" t="s">
        <v>30</v>
      </c>
      <c r="C4" s="7">
        <v>1902</v>
      </c>
      <c r="D4" s="41" t="s">
        <v>31</v>
      </c>
      <c r="E4" s="217"/>
      <c r="F4" s="220"/>
      <c r="G4" s="38">
        <v>186</v>
      </c>
      <c r="H4" s="27">
        <v>520</v>
      </c>
      <c r="I4" s="147"/>
      <c r="J4" s="31">
        <v>19</v>
      </c>
      <c r="K4" s="33">
        <v>89</v>
      </c>
      <c r="L4" s="31">
        <v>75</v>
      </c>
      <c r="M4" s="35">
        <v>188</v>
      </c>
      <c r="N4" s="31">
        <v>92</v>
      </c>
      <c r="O4" s="33">
        <v>243</v>
      </c>
      <c r="P4" s="147" t="s">
        <v>79</v>
      </c>
      <c r="Q4" s="63">
        <v>1</v>
      </c>
      <c r="R4" s="35">
        <v>17</v>
      </c>
      <c r="S4" s="157">
        <v>6</v>
      </c>
      <c r="T4" s="33">
        <v>40</v>
      </c>
      <c r="U4" s="96">
        <v>12</v>
      </c>
      <c r="V4" s="35">
        <v>32</v>
      </c>
      <c r="W4" s="31">
        <v>12</v>
      </c>
      <c r="X4" s="33">
        <v>21</v>
      </c>
      <c r="Y4" s="107">
        <v>21</v>
      </c>
      <c r="Z4" s="35">
        <v>51</v>
      </c>
      <c r="AA4" s="31">
        <v>35</v>
      </c>
      <c r="AB4" s="35">
        <v>93</v>
      </c>
      <c r="AC4" s="157">
        <v>7</v>
      </c>
      <c r="AD4" s="35">
        <v>23</v>
      </c>
      <c r="AE4" s="52">
        <v>37</v>
      </c>
      <c r="AF4" s="67">
        <v>100</v>
      </c>
      <c r="AG4" s="52">
        <v>16</v>
      </c>
      <c r="AH4" s="53">
        <v>36</v>
      </c>
      <c r="AI4" s="172">
        <v>13</v>
      </c>
      <c r="AJ4" s="67">
        <v>42</v>
      </c>
      <c r="AK4" s="185">
        <v>26</v>
      </c>
      <c r="AL4" s="53">
        <v>65</v>
      </c>
      <c r="AM4" s="49"/>
      <c r="AN4" s="6"/>
      <c r="AO4" s="6"/>
    </row>
    <row r="5" spans="1:48" ht="33" customHeight="1" x14ac:dyDescent="0.3">
      <c r="A5" s="8" t="s">
        <v>14</v>
      </c>
      <c r="B5" s="9" t="s">
        <v>12</v>
      </c>
      <c r="C5" s="7">
        <v>1903</v>
      </c>
      <c r="D5" s="42" t="s">
        <v>0</v>
      </c>
      <c r="E5" s="217"/>
      <c r="F5" s="220"/>
      <c r="G5" s="38">
        <v>195</v>
      </c>
      <c r="H5" s="27">
        <v>906</v>
      </c>
      <c r="I5" s="147"/>
      <c r="J5" s="131">
        <v>20</v>
      </c>
      <c r="K5" s="33">
        <v>158</v>
      </c>
      <c r="L5" s="31">
        <v>102</v>
      </c>
      <c r="M5" s="35">
        <v>493</v>
      </c>
      <c r="N5" s="31">
        <v>73</v>
      </c>
      <c r="O5" s="33">
        <v>255</v>
      </c>
      <c r="P5" s="147"/>
      <c r="Q5" s="132">
        <v>2</v>
      </c>
      <c r="R5" s="35">
        <v>8</v>
      </c>
      <c r="S5" s="187">
        <v>10</v>
      </c>
      <c r="T5" s="33">
        <v>119</v>
      </c>
      <c r="U5" s="31">
        <v>8</v>
      </c>
      <c r="V5" s="35">
        <v>31</v>
      </c>
      <c r="W5" s="31">
        <v>24</v>
      </c>
      <c r="X5" s="33">
        <v>136</v>
      </c>
      <c r="Y5" s="162">
        <v>30</v>
      </c>
      <c r="Z5" s="35">
        <v>139</v>
      </c>
      <c r="AA5" s="31">
        <v>34</v>
      </c>
      <c r="AB5" s="35">
        <v>100</v>
      </c>
      <c r="AC5" s="157">
        <v>14</v>
      </c>
      <c r="AD5" s="133">
        <v>116</v>
      </c>
      <c r="AE5" s="52">
        <v>38</v>
      </c>
      <c r="AF5" s="67">
        <v>149</v>
      </c>
      <c r="AG5" s="52">
        <v>9</v>
      </c>
      <c r="AH5" s="53">
        <v>12</v>
      </c>
      <c r="AI5" s="172">
        <v>17</v>
      </c>
      <c r="AJ5" s="67">
        <v>73</v>
      </c>
      <c r="AK5" s="52">
        <v>9</v>
      </c>
      <c r="AL5" s="53">
        <v>21</v>
      </c>
      <c r="AM5" s="49"/>
      <c r="AN5" s="6"/>
      <c r="AO5" s="6"/>
    </row>
    <row r="6" spans="1:48" ht="36" customHeight="1" x14ac:dyDescent="0.3">
      <c r="A6" s="8" t="s">
        <v>24</v>
      </c>
      <c r="B6" s="9" t="s">
        <v>19</v>
      </c>
      <c r="C6" s="7">
        <v>1904</v>
      </c>
      <c r="D6" s="42" t="s">
        <v>1</v>
      </c>
      <c r="E6" s="217"/>
      <c r="F6" s="220"/>
      <c r="G6" s="38">
        <v>191</v>
      </c>
      <c r="H6" s="110">
        <v>1478</v>
      </c>
      <c r="I6" s="147" t="s">
        <v>70</v>
      </c>
      <c r="J6" s="31">
        <v>10</v>
      </c>
      <c r="K6" s="33">
        <v>137</v>
      </c>
      <c r="L6" s="31">
        <v>90</v>
      </c>
      <c r="M6" s="35">
        <v>625</v>
      </c>
      <c r="N6" s="31">
        <v>91</v>
      </c>
      <c r="O6" s="33">
        <v>716</v>
      </c>
      <c r="P6" s="147" t="s">
        <v>70</v>
      </c>
      <c r="Q6" s="63">
        <v>1</v>
      </c>
      <c r="R6" s="35">
        <v>5</v>
      </c>
      <c r="S6" s="157">
        <v>6</v>
      </c>
      <c r="T6" s="33">
        <v>115</v>
      </c>
      <c r="U6" s="31">
        <v>3</v>
      </c>
      <c r="V6" s="35">
        <v>17</v>
      </c>
      <c r="W6" s="31">
        <v>12</v>
      </c>
      <c r="X6" s="33">
        <v>64</v>
      </c>
      <c r="Y6" s="162">
        <v>30</v>
      </c>
      <c r="Z6" s="35">
        <v>212</v>
      </c>
      <c r="AA6" s="31">
        <v>36</v>
      </c>
      <c r="AB6" s="133">
        <v>239</v>
      </c>
      <c r="AC6" s="157">
        <v>12</v>
      </c>
      <c r="AD6" s="35">
        <v>110</v>
      </c>
      <c r="AE6" s="52">
        <v>48</v>
      </c>
      <c r="AF6" s="67">
        <v>490</v>
      </c>
      <c r="AG6" s="142">
        <v>20</v>
      </c>
      <c r="AH6" s="106">
        <v>96</v>
      </c>
      <c r="AI6" s="172">
        <v>12</v>
      </c>
      <c r="AJ6" s="67">
        <v>66</v>
      </c>
      <c r="AK6" s="52">
        <v>11</v>
      </c>
      <c r="AL6" s="53">
        <v>64</v>
      </c>
      <c r="AM6" s="49"/>
      <c r="AN6" s="6"/>
      <c r="AO6" s="6"/>
    </row>
    <row r="7" spans="1:48" s="17" customFormat="1" ht="30.6" customHeight="1" thickBot="1" x14ac:dyDescent="0.35">
      <c r="A7" s="14" t="s">
        <v>25</v>
      </c>
      <c r="B7" s="15" t="s">
        <v>18</v>
      </c>
      <c r="C7" s="16">
        <v>1905</v>
      </c>
      <c r="D7" s="43" t="s">
        <v>0</v>
      </c>
      <c r="E7" s="218"/>
      <c r="F7" s="221"/>
      <c r="G7" s="84">
        <v>279</v>
      </c>
      <c r="H7" s="28">
        <v>2053</v>
      </c>
      <c r="I7" s="148" t="s">
        <v>71</v>
      </c>
      <c r="J7" s="32">
        <v>15</v>
      </c>
      <c r="K7" s="134">
        <v>238</v>
      </c>
      <c r="L7" s="86">
        <v>126</v>
      </c>
      <c r="M7" s="135">
        <v>838</v>
      </c>
      <c r="N7" s="88">
        <v>138</v>
      </c>
      <c r="O7" s="62">
        <v>977</v>
      </c>
      <c r="P7" s="148" t="s">
        <v>71</v>
      </c>
      <c r="Q7" s="64">
        <v>1</v>
      </c>
      <c r="R7" s="192">
        <v>39</v>
      </c>
      <c r="S7" s="159">
        <v>7</v>
      </c>
      <c r="T7" s="34">
        <v>134</v>
      </c>
      <c r="U7" s="32">
        <v>7</v>
      </c>
      <c r="V7" s="136">
        <v>65</v>
      </c>
      <c r="W7" s="32">
        <v>25</v>
      </c>
      <c r="X7" s="34">
        <v>182</v>
      </c>
      <c r="Y7" s="86">
        <v>31</v>
      </c>
      <c r="Z7" s="135">
        <v>270</v>
      </c>
      <c r="AA7" s="168">
        <v>59</v>
      </c>
      <c r="AB7" s="169">
        <v>300</v>
      </c>
      <c r="AC7" s="159">
        <v>11</v>
      </c>
      <c r="AD7" s="36">
        <v>85</v>
      </c>
      <c r="AE7" s="101">
        <v>67</v>
      </c>
      <c r="AF7" s="105">
        <v>661</v>
      </c>
      <c r="AG7" s="101">
        <v>21</v>
      </c>
      <c r="AH7" s="181">
        <v>72</v>
      </c>
      <c r="AI7" s="173">
        <v>28</v>
      </c>
      <c r="AJ7" s="102">
        <v>169</v>
      </c>
      <c r="AK7" s="54">
        <v>22</v>
      </c>
      <c r="AL7" s="55">
        <v>75</v>
      </c>
      <c r="AM7" s="49"/>
      <c r="AN7" s="6"/>
      <c r="AO7" s="6"/>
      <c r="AP7" s="2"/>
      <c r="AQ7" s="2"/>
      <c r="AR7" s="2"/>
      <c r="AS7" s="2"/>
      <c r="AT7" s="2"/>
      <c r="AU7" s="2"/>
      <c r="AV7" s="2"/>
    </row>
    <row r="8" spans="1:48" ht="43.2" customHeight="1" thickTop="1" x14ac:dyDescent="0.3">
      <c r="A8" s="11" t="s">
        <v>14</v>
      </c>
      <c r="B8" s="12" t="s">
        <v>2</v>
      </c>
      <c r="C8" s="13">
        <v>1908</v>
      </c>
      <c r="D8" s="40" t="s">
        <v>0</v>
      </c>
      <c r="E8" s="222">
        <v>1187</v>
      </c>
      <c r="F8" s="224">
        <v>6800</v>
      </c>
      <c r="G8" s="126">
        <v>242</v>
      </c>
      <c r="H8" s="109">
        <v>1893</v>
      </c>
      <c r="I8" s="146" t="s">
        <v>72</v>
      </c>
      <c r="J8" s="82">
        <v>33</v>
      </c>
      <c r="K8" s="128">
        <v>344</v>
      </c>
      <c r="L8" s="137">
        <v>117</v>
      </c>
      <c r="M8" s="154">
        <v>983</v>
      </c>
      <c r="N8" s="30">
        <v>92</v>
      </c>
      <c r="O8" s="5">
        <v>566</v>
      </c>
      <c r="P8" s="146" t="s">
        <v>80</v>
      </c>
      <c r="Q8" s="65">
        <v>1</v>
      </c>
      <c r="R8" s="191">
        <v>27</v>
      </c>
      <c r="S8" s="188">
        <v>9</v>
      </c>
      <c r="T8" s="18">
        <v>269</v>
      </c>
      <c r="U8" s="82">
        <v>23</v>
      </c>
      <c r="V8" s="139">
        <v>48</v>
      </c>
      <c r="W8" s="95">
        <v>39</v>
      </c>
      <c r="X8" s="100">
        <v>458</v>
      </c>
      <c r="Y8" s="163">
        <v>28</v>
      </c>
      <c r="Z8" s="138">
        <v>311</v>
      </c>
      <c r="AA8" s="30">
        <v>31</v>
      </c>
      <c r="AB8" s="37">
        <v>91</v>
      </c>
      <c r="AC8" s="156">
        <v>19</v>
      </c>
      <c r="AD8" s="138">
        <v>123</v>
      </c>
      <c r="AE8" s="50">
        <v>46</v>
      </c>
      <c r="AF8" s="69">
        <v>319</v>
      </c>
      <c r="AG8" s="50">
        <v>4</v>
      </c>
      <c r="AH8" s="51">
        <v>5</v>
      </c>
      <c r="AI8" s="174">
        <v>21</v>
      </c>
      <c r="AJ8" s="104">
        <v>197</v>
      </c>
      <c r="AK8" s="50">
        <v>21</v>
      </c>
      <c r="AL8" s="51">
        <v>45</v>
      </c>
      <c r="AM8" s="49"/>
      <c r="AN8" s="6"/>
      <c r="AO8" s="6"/>
    </row>
    <row r="9" spans="1:48" ht="36" customHeight="1" x14ac:dyDescent="0.3">
      <c r="A9" s="8" t="s">
        <v>20</v>
      </c>
      <c r="B9" s="9" t="s">
        <v>3</v>
      </c>
      <c r="C9" s="7">
        <v>1908</v>
      </c>
      <c r="D9" s="42" t="s">
        <v>1</v>
      </c>
      <c r="E9" s="223"/>
      <c r="F9" s="225"/>
      <c r="G9" s="111">
        <v>247</v>
      </c>
      <c r="H9" s="108">
        <v>1847</v>
      </c>
      <c r="I9" s="149" t="s">
        <v>73</v>
      </c>
      <c r="J9" s="31">
        <v>13</v>
      </c>
      <c r="K9" s="33">
        <v>206</v>
      </c>
      <c r="L9" s="107">
        <v>116</v>
      </c>
      <c r="M9" s="35">
        <v>729</v>
      </c>
      <c r="N9" s="140">
        <v>118</v>
      </c>
      <c r="O9" s="141">
        <v>912</v>
      </c>
      <c r="P9" s="149" t="s">
        <v>73</v>
      </c>
      <c r="Q9" s="63">
        <v>1</v>
      </c>
      <c r="R9" s="35">
        <v>16</v>
      </c>
      <c r="S9" s="189">
        <v>8</v>
      </c>
      <c r="T9" s="33">
        <v>141</v>
      </c>
      <c r="U9" s="31">
        <v>4</v>
      </c>
      <c r="V9" s="35">
        <v>49</v>
      </c>
      <c r="W9" s="31">
        <v>24</v>
      </c>
      <c r="X9" s="97">
        <v>202</v>
      </c>
      <c r="Y9" s="162">
        <v>30</v>
      </c>
      <c r="Z9" s="35">
        <v>256</v>
      </c>
      <c r="AA9" s="99">
        <v>53</v>
      </c>
      <c r="AB9" s="35">
        <v>206</v>
      </c>
      <c r="AC9" s="157">
        <v>9</v>
      </c>
      <c r="AD9" s="35">
        <v>65</v>
      </c>
      <c r="AE9" s="142">
        <v>55</v>
      </c>
      <c r="AF9" s="103">
        <v>649</v>
      </c>
      <c r="AG9" s="52">
        <v>16</v>
      </c>
      <c r="AH9" s="53">
        <v>34</v>
      </c>
      <c r="AI9" s="175">
        <v>27</v>
      </c>
      <c r="AJ9" s="67">
        <v>138</v>
      </c>
      <c r="AK9" s="52">
        <v>20</v>
      </c>
      <c r="AL9" s="106">
        <v>91</v>
      </c>
      <c r="AM9" s="49"/>
      <c r="AN9" s="6"/>
      <c r="AO9" s="6"/>
    </row>
    <row r="10" spans="1:48" ht="39" customHeight="1" x14ac:dyDescent="0.3">
      <c r="A10" s="8" t="s">
        <v>32</v>
      </c>
      <c r="B10" s="10" t="s">
        <v>29</v>
      </c>
      <c r="C10" s="8">
        <v>1909</v>
      </c>
      <c r="D10" s="42" t="s">
        <v>0</v>
      </c>
      <c r="E10" s="223"/>
      <c r="F10" s="225"/>
      <c r="G10" s="38">
        <v>168</v>
      </c>
      <c r="H10" s="27">
        <v>727</v>
      </c>
      <c r="I10" s="147" t="s">
        <v>74</v>
      </c>
      <c r="J10" s="31">
        <v>12</v>
      </c>
      <c r="K10" s="33">
        <v>97</v>
      </c>
      <c r="L10" s="31">
        <v>95</v>
      </c>
      <c r="M10" s="35">
        <v>404</v>
      </c>
      <c r="N10" s="31">
        <v>61</v>
      </c>
      <c r="O10" s="33">
        <v>226</v>
      </c>
      <c r="P10" s="147" t="s">
        <v>74</v>
      </c>
      <c r="Q10" s="63">
        <v>1</v>
      </c>
      <c r="R10" s="35">
        <v>1</v>
      </c>
      <c r="S10" s="157">
        <v>7</v>
      </c>
      <c r="T10" s="33">
        <v>90</v>
      </c>
      <c r="U10" s="31">
        <v>4</v>
      </c>
      <c r="V10" s="35">
        <v>6</v>
      </c>
      <c r="W10" s="99">
        <v>30</v>
      </c>
      <c r="X10" s="33">
        <v>179</v>
      </c>
      <c r="Y10" s="107">
        <v>27</v>
      </c>
      <c r="Z10" s="35">
        <v>124</v>
      </c>
      <c r="AA10" s="31">
        <v>25</v>
      </c>
      <c r="AB10" s="35">
        <v>38</v>
      </c>
      <c r="AC10" s="157">
        <v>13</v>
      </c>
      <c r="AD10" s="35">
        <v>63</v>
      </c>
      <c r="AE10" s="52">
        <v>36</v>
      </c>
      <c r="AF10" s="67">
        <v>138</v>
      </c>
      <c r="AG10" s="52">
        <v>4</v>
      </c>
      <c r="AH10" s="53">
        <v>4</v>
      </c>
      <c r="AI10" s="172">
        <v>13</v>
      </c>
      <c r="AJ10" s="67">
        <v>74</v>
      </c>
      <c r="AK10" s="52">
        <v>8</v>
      </c>
      <c r="AL10" s="53">
        <v>10</v>
      </c>
      <c r="AM10" s="49"/>
      <c r="AN10" s="6"/>
      <c r="AO10" s="6"/>
    </row>
    <row r="11" spans="1:48" ht="40.200000000000003" customHeight="1" x14ac:dyDescent="0.3">
      <c r="A11" s="7" t="s">
        <v>23</v>
      </c>
      <c r="B11" s="9" t="s">
        <v>4</v>
      </c>
      <c r="C11" s="8">
        <v>1909</v>
      </c>
      <c r="D11" s="115" t="s">
        <v>1</v>
      </c>
      <c r="E11" s="223"/>
      <c r="F11" s="225"/>
      <c r="G11" s="76">
        <v>138</v>
      </c>
      <c r="H11" s="77">
        <v>624</v>
      </c>
      <c r="I11" s="147" t="s">
        <v>78</v>
      </c>
      <c r="J11" s="31">
        <v>7</v>
      </c>
      <c r="K11" s="33">
        <v>66</v>
      </c>
      <c r="L11" s="31">
        <v>78</v>
      </c>
      <c r="M11" s="35">
        <v>348</v>
      </c>
      <c r="N11" s="31">
        <v>53</v>
      </c>
      <c r="O11" s="33">
        <v>210</v>
      </c>
      <c r="P11" s="147" t="s">
        <v>78</v>
      </c>
      <c r="Q11" s="63">
        <v>1</v>
      </c>
      <c r="R11" s="35">
        <v>3</v>
      </c>
      <c r="S11" s="157">
        <v>5</v>
      </c>
      <c r="T11" s="33">
        <v>62</v>
      </c>
      <c r="U11" s="31">
        <v>1</v>
      </c>
      <c r="V11" s="35">
        <v>1</v>
      </c>
      <c r="W11" s="31">
        <v>21</v>
      </c>
      <c r="X11" s="33">
        <v>131</v>
      </c>
      <c r="Y11" s="107">
        <v>22</v>
      </c>
      <c r="Z11" s="35">
        <v>115</v>
      </c>
      <c r="AA11" s="31">
        <v>26</v>
      </c>
      <c r="AB11" s="35">
        <v>71</v>
      </c>
      <c r="AC11" s="157">
        <v>9</v>
      </c>
      <c r="AD11" s="35">
        <v>31</v>
      </c>
      <c r="AE11" s="52">
        <v>29</v>
      </c>
      <c r="AF11" s="67">
        <v>129</v>
      </c>
      <c r="AG11" s="52">
        <v>4</v>
      </c>
      <c r="AH11" s="53">
        <v>4</v>
      </c>
      <c r="AI11" s="172">
        <v>10</v>
      </c>
      <c r="AJ11" s="67">
        <v>52</v>
      </c>
      <c r="AK11" s="52">
        <v>10</v>
      </c>
      <c r="AL11" s="53">
        <v>25</v>
      </c>
      <c r="AM11" s="49"/>
      <c r="AN11" s="6"/>
      <c r="AO11" s="6"/>
    </row>
    <row r="12" spans="1:48" ht="36.6" customHeight="1" x14ac:dyDescent="0.3">
      <c r="A12" s="8" t="s">
        <v>27</v>
      </c>
      <c r="B12" s="9" t="s">
        <v>5</v>
      </c>
      <c r="C12" s="7">
        <v>1910</v>
      </c>
      <c r="D12" s="42" t="s">
        <v>0</v>
      </c>
      <c r="E12" s="223"/>
      <c r="F12" s="225"/>
      <c r="G12" s="38">
        <v>216</v>
      </c>
      <c r="H12" s="27">
        <v>971</v>
      </c>
      <c r="I12" s="147" t="s">
        <v>75</v>
      </c>
      <c r="J12" s="96">
        <v>22</v>
      </c>
      <c r="K12" s="33">
        <v>91</v>
      </c>
      <c r="L12" s="31">
        <v>104</v>
      </c>
      <c r="M12" s="35">
        <v>509</v>
      </c>
      <c r="N12" s="31">
        <v>90</v>
      </c>
      <c r="O12" s="33">
        <v>371</v>
      </c>
      <c r="P12" s="147" t="s">
        <v>75</v>
      </c>
      <c r="Q12" s="63">
        <v>1</v>
      </c>
      <c r="R12" s="35">
        <v>13</v>
      </c>
      <c r="S12" s="189">
        <v>8</v>
      </c>
      <c r="T12" s="33">
        <v>33</v>
      </c>
      <c r="U12" s="96">
        <v>13</v>
      </c>
      <c r="V12" s="112">
        <v>45</v>
      </c>
      <c r="W12" s="31">
        <v>14</v>
      </c>
      <c r="X12" s="33">
        <v>44</v>
      </c>
      <c r="Y12" s="107">
        <v>21</v>
      </c>
      <c r="Z12" s="35">
        <v>79</v>
      </c>
      <c r="AA12" s="31">
        <v>48</v>
      </c>
      <c r="AB12" s="35">
        <v>130</v>
      </c>
      <c r="AC12" s="167">
        <v>21</v>
      </c>
      <c r="AD12" s="61">
        <v>256</v>
      </c>
      <c r="AE12" s="52">
        <v>52</v>
      </c>
      <c r="AF12" s="67">
        <v>250</v>
      </c>
      <c r="AG12" s="52">
        <v>8</v>
      </c>
      <c r="AH12" s="53">
        <v>28</v>
      </c>
      <c r="AI12" s="172">
        <v>14</v>
      </c>
      <c r="AJ12" s="67">
        <v>55</v>
      </c>
      <c r="AK12" s="52">
        <v>16</v>
      </c>
      <c r="AL12" s="53">
        <v>38</v>
      </c>
      <c r="AM12" s="49"/>
      <c r="AN12" s="6"/>
      <c r="AO12" s="6"/>
    </row>
    <row r="13" spans="1:48" s="17" customFormat="1" ht="35.4" customHeight="1" thickBot="1" x14ac:dyDescent="0.35">
      <c r="A13" s="26" t="s">
        <v>34</v>
      </c>
      <c r="B13" s="15" t="s">
        <v>36</v>
      </c>
      <c r="C13" s="16">
        <v>1910</v>
      </c>
      <c r="D13" s="116" t="s">
        <v>35</v>
      </c>
      <c r="E13" s="223"/>
      <c r="F13" s="225"/>
      <c r="G13" s="78">
        <v>176</v>
      </c>
      <c r="H13" s="94">
        <v>738</v>
      </c>
      <c r="I13" s="148" t="s">
        <v>76</v>
      </c>
      <c r="J13" s="32">
        <v>13</v>
      </c>
      <c r="K13" s="34">
        <v>110</v>
      </c>
      <c r="L13" s="32">
        <v>79</v>
      </c>
      <c r="M13" s="36">
        <v>340</v>
      </c>
      <c r="N13" s="32">
        <v>84</v>
      </c>
      <c r="O13" s="34">
        <v>288</v>
      </c>
      <c r="P13" s="148" t="s">
        <v>76</v>
      </c>
      <c r="Q13" s="64">
        <v>1</v>
      </c>
      <c r="R13" s="36">
        <v>8</v>
      </c>
      <c r="S13" s="159">
        <v>6</v>
      </c>
      <c r="T13" s="34">
        <v>96</v>
      </c>
      <c r="U13" s="32">
        <v>6</v>
      </c>
      <c r="V13" s="36">
        <v>6</v>
      </c>
      <c r="W13" s="32">
        <v>19</v>
      </c>
      <c r="X13" s="34">
        <v>135</v>
      </c>
      <c r="Y13" s="164">
        <v>22</v>
      </c>
      <c r="Z13" s="36">
        <v>119</v>
      </c>
      <c r="AA13" s="32">
        <v>29</v>
      </c>
      <c r="AB13" s="36">
        <v>58</v>
      </c>
      <c r="AC13" s="159">
        <v>9</v>
      </c>
      <c r="AD13" s="36">
        <v>28</v>
      </c>
      <c r="AE13" s="54">
        <v>48</v>
      </c>
      <c r="AF13" s="70">
        <v>179</v>
      </c>
      <c r="AG13" s="54">
        <v>8</v>
      </c>
      <c r="AH13" s="55">
        <v>12</v>
      </c>
      <c r="AI13" s="176">
        <v>13</v>
      </c>
      <c r="AJ13" s="70">
        <v>46</v>
      </c>
      <c r="AK13" s="54">
        <v>15</v>
      </c>
      <c r="AL13" s="55">
        <v>51</v>
      </c>
      <c r="AM13" s="49"/>
      <c r="AN13" s="6"/>
      <c r="AO13" s="6"/>
      <c r="AP13" s="2"/>
      <c r="AQ13" s="2"/>
      <c r="AR13" s="2"/>
      <c r="AS13" s="2"/>
      <c r="AT13" s="2"/>
      <c r="AU13" s="2"/>
      <c r="AV13" s="2"/>
    </row>
    <row r="14" spans="1:48" ht="39" customHeight="1" thickTop="1" x14ac:dyDescent="0.3">
      <c r="A14" s="11" t="s">
        <v>22</v>
      </c>
      <c r="B14" s="12" t="s">
        <v>6</v>
      </c>
      <c r="C14" s="25">
        <v>1911</v>
      </c>
      <c r="D14" s="44" t="s">
        <v>0</v>
      </c>
      <c r="E14" s="217">
        <v>858</v>
      </c>
      <c r="F14" s="220">
        <v>4712</v>
      </c>
      <c r="G14" s="74">
        <v>235</v>
      </c>
      <c r="H14" s="75">
        <v>1020</v>
      </c>
      <c r="I14" s="146" t="s">
        <v>71</v>
      </c>
      <c r="J14" s="30">
        <v>15</v>
      </c>
      <c r="K14" s="5">
        <v>93</v>
      </c>
      <c r="L14" s="30">
        <v>111</v>
      </c>
      <c r="M14" s="37">
        <v>463</v>
      </c>
      <c r="N14" s="30">
        <v>109</v>
      </c>
      <c r="O14" s="5">
        <v>464</v>
      </c>
      <c r="P14" s="146" t="s">
        <v>71</v>
      </c>
      <c r="Q14" s="66">
        <v>1</v>
      </c>
      <c r="R14" s="37">
        <v>13</v>
      </c>
      <c r="S14" s="158">
        <v>5</v>
      </c>
      <c r="T14" s="5">
        <v>58</v>
      </c>
      <c r="U14" s="30">
        <v>9</v>
      </c>
      <c r="V14" s="37">
        <v>22</v>
      </c>
      <c r="W14" s="30">
        <v>16</v>
      </c>
      <c r="X14" s="5">
        <v>52</v>
      </c>
      <c r="Y14" s="163">
        <v>28</v>
      </c>
      <c r="Z14" s="37">
        <v>141</v>
      </c>
      <c r="AA14" s="30">
        <v>51</v>
      </c>
      <c r="AB14" s="37">
        <v>222</v>
      </c>
      <c r="AC14" s="156">
        <v>16</v>
      </c>
      <c r="AD14" s="37">
        <v>48</v>
      </c>
      <c r="AE14" s="50">
        <v>48</v>
      </c>
      <c r="AF14" s="69">
        <v>280</v>
      </c>
      <c r="AG14" s="129">
        <v>21</v>
      </c>
      <c r="AH14" s="130">
        <v>56</v>
      </c>
      <c r="AI14" s="177">
        <v>23</v>
      </c>
      <c r="AJ14" s="69">
        <v>89</v>
      </c>
      <c r="AK14" s="50">
        <v>17</v>
      </c>
      <c r="AL14" s="51">
        <v>39</v>
      </c>
      <c r="AM14" s="49"/>
      <c r="AN14" s="6"/>
      <c r="AO14" s="6"/>
    </row>
    <row r="15" spans="1:48" ht="35.4" customHeight="1" x14ac:dyDescent="0.3">
      <c r="A15" s="8" t="s">
        <v>28</v>
      </c>
      <c r="B15" s="9" t="s">
        <v>7</v>
      </c>
      <c r="C15" s="7">
        <v>1912</v>
      </c>
      <c r="D15" s="42" t="s">
        <v>0</v>
      </c>
      <c r="E15" s="217"/>
      <c r="F15" s="220"/>
      <c r="G15" s="38">
        <v>204</v>
      </c>
      <c r="H15" s="27">
        <v>764</v>
      </c>
      <c r="I15" s="149" t="s">
        <v>77</v>
      </c>
      <c r="J15" s="31">
        <v>6</v>
      </c>
      <c r="K15" s="33">
        <v>64</v>
      </c>
      <c r="L15" s="31">
        <v>95</v>
      </c>
      <c r="M15" s="35">
        <v>287</v>
      </c>
      <c r="N15" s="31">
        <v>103</v>
      </c>
      <c r="O15" s="33">
        <v>413</v>
      </c>
      <c r="P15" s="149" t="s">
        <v>77</v>
      </c>
      <c r="Q15" s="63">
        <v>1</v>
      </c>
      <c r="R15" s="35">
        <v>5</v>
      </c>
      <c r="S15" s="157">
        <v>5</v>
      </c>
      <c r="T15" s="33">
        <v>59</v>
      </c>
      <c r="U15" s="31"/>
      <c r="V15" s="35"/>
      <c r="W15" s="31">
        <v>17</v>
      </c>
      <c r="X15" s="33">
        <v>60</v>
      </c>
      <c r="Y15" s="107">
        <v>25</v>
      </c>
      <c r="Z15" s="35">
        <v>106</v>
      </c>
      <c r="AA15" s="31">
        <v>46</v>
      </c>
      <c r="AB15" s="35">
        <v>104</v>
      </c>
      <c r="AC15" s="157">
        <v>7</v>
      </c>
      <c r="AD15" s="35">
        <v>17</v>
      </c>
      <c r="AE15" s="52">
        <v>50</v>
      </c>
      <c r="AF15" s="67">
        <v>253</v>
      </c>
      <c r="AG15" s="52">
        <v>12</v>
      </c>
      <c r="AH15" s="53">
        <v>28</v>
      </c>
      <c r="AI15" s="172">
        <v>16</v>
      </c>
      <c r="AJ15" s="67">
        <v>50</v>
      </c>
      <c r="AK15" s="185">
        <v>25</v>
      </c>
      <c r="AL15" s="114">
        <v>82</v>
      </c>
      <c r="AM15" s="49"/>
      <c r="AN15" s="6"/>
      <c r="AO15" s="6"/>
    </row>
    <row r="16" spans="1:48" ht="36" customHeight="1" x14ac:dyDescent="0.3">
      <c r="A16" s="8" t="s">
        <v>16</v>
      </c>
      <c r="B16" s="9" t="s">
        <v>8</v>
      </c>
      <c r="C16" s="7">
        <v>1913</v>
      </c>
      <c r="D16" s="42" t="s">
        <v>0</v>
      </c>
      <c r="E16" s="217"/>
      <c r="F16" s="220"/>
      <c r="G16" s="198">
        <v>235</v>
      </c>
      <c r="H16" s="108">
        <v>1996</v>
      </c>
      <c r="I16" s="151"/>
      <c r="J16" s="31">
        <v>12</v>
      </c>
      <c r="K16" s="4">
        <v>265</v>
      </c>
      <c r="L16" s="31">
        <v>116</v>
      </c>
      <c r="M16" s="133">
        <v>915</v>
      </c>
      <c r="N16" s="31">
        <v>107</v>
      </c>
      <c r="O16" s="141">
        <v>816</v>
      </c>
      <c r="P16" s="147"/>
      <c r="Q16" s="63">
        <v>1</v>
      </c>
      <c r="R16" s="35">
        <v>12</v>
      </c>
      <c r="S16" s="157">
        <v>6</v>
      </c>
      <c r="T16" s="143">
        <v>185</v>
      </c>
      <c r="U16" s="31">
        <v>5</v>
      </c>
      <c r="V16" s="90">
        <v>68</v>
      </c>
      <c r="W16" s="99">
        <v>29</v>
      </c>
      <c r="X16" s="97">
        <v>278</v>
      </c>
      <c r="Y16" s="107">
        <v>29</v>
      </c>
      <c r="Z16" s="61">
        <v>317</v>
      </c>
      <c r="AA16" s="31">
        <v>45</v>
      </c>
      <c r="AB16" s="133">
        <v>239</v>
      </c>
      <c r="AC16" s="157">
        <v>13</v>
      </c>
      <c r="AD16" s="35">
        <v>81</v>
      </c>
      <c r="AE16" s="142">
        <v>55</v>
      </c>
      <c r="AF16" s="103">
        <v>574</v>
      </c>
      <c r="AG16" s="52">
        <v>13</v>
      </c>
      <c r="AH16" s="53">
        <v>35</v>
      </c>
      <c r="AI16" s="178">
        <v>24</v>
      </c>
      <c r="AJ16" s="103">
        <v>168</v>
      </c>
      <c r="AK16" s="52">
        <v>15</v>
      </c>
      <c r="AL16" s="53">
        <v>39</v>
      </c>
      <c r="AM16" s="49"/>
      <c r="AN16" s="6"/>
      <c r="AO16" s="6"/>
    </row>
    <row r="17" spans="1:48" s="17" customFormat="1" ht="36" customHeight="1" thickBot="1" x14ac:dyDescent="0.35">
      <c r="A17" s="8" t="s">
        <v>21</v>
      </c>
      <c r="B17" s="9" t="s">
        <v>9</v>
      </c>
      <c r="C17" s="16">
        <v>1914</v>
      </c>
      <c r="D17" s="43" t="s">
        <v>1</v>
      </c>
      <c r="E17" s="218"/>
      <c r="F17" s="221"/>
      <c r="G17" s="39">
        <v>184</v>
      </c>
      <c r="H17" s="29">
        <v>932</v>
      </c>
      <c r="I17" s="148"/>
      <c r="J17" s="32">
        <v>14</v>
      </c>
      <c r="K17" s="34">
        <v>192</v>
      </c>
      <c r="L17" s="32">
        <v>95</v>
      </c>
      <c r="M17" s="36">
        <v>503</v>
      </c>
      <c r="N17" s="32">
        <v>75</v>
      </c>
      <c r="O17" s="34">
        <v>237</v>
      </c>
      <c r="P17" s="148"/>
      <c r="Q17" s="64">
        <v>1</v>
      </c>
      <c r="R17" s="36">
        <v>1</v>
      </c>
      <c r="S17" s="159">
        <v>6</v>
      </c>
      <c r="T17" s="34">
        <v>127</v>
      </c>
      <c r="U17" s="32">
        <v>7</v>
      </c>
      <c r="V17" s="36">
        <v>64</v>
      </c>
      <c r="W17" s="32">
        <v>22</v>
      </c>
      <c r="X17" s="34">
        <v>149</v>
      </c>
      <c r="Y17" s="164">
        <v>27</v>
      </c>
      <c r="Z17" s="36">
        <v>154</v>
      </c>
      <c r="AA17" s="32">
        <v>38</v>
      </c>
      <c r="AB17" s="36">
        <v>149</v>
      </c>
      <c r="AC17" s="159">
        <v>8</v>
      </c>
      <c r="AD17" s="36">
        <v>54</v>
      </c>
      <c r="AE17" s="54">
        <v>41</v>
      </c>
      <c r="AF17" s="70">
        <v>126</v>
      </c>
      <c r="AG17" s="54">
        <v>12</v>
      </c>
      <c r="AH17" s="55">
        <v>29</v>
      </c>
      <c r="AI17" s="176">
        <v>16</v>
      </c>
      <c r="AJ17" s="70">
        <v>63</v>
      </c>
      <c r="AK17" s="54">
        <v>6</v>
      </c>
      <c r="AL17" s="55">
        <v>19</v>
      </c>
      <c r="AM17" s="49"/>
      <c r="AN17" s="6"/>
      <c r="AO17" s="6"/>
      <c r="AP17" s="2"/>
      <c r="AQ17" s="2"/>
      <c r="AR17" s="2"/>
      <c r="AS17" s="2"/>
      <c r="AT17" s="2"/>
      <c r="AU17" s="2"/>
      <c r="AV17" s="2"/>
    </row>
    <row r="18" spans="1:48" s="80" customFormat="1" ht="100.8" customHeight="1" thickTop="1" thickBot="1" x14ac:dyDescent="0.35">
      <c r="A18" s="117"/>
      <c r="B18" s="117"/>
      <c r="C18" s="226" t="s">
        <v>57</v>
      </c>
      <c r="D18" s="226"/>
      <c r="E18" s="226"/>
      <c r="F18" s="227"/>
      <c r="G18" s="118">
        <f t="shared" ref="G18:AL18" si="0">SUM(G3:G17)</f>
        <v>3158</v>
      </c>
      <c r="H18" s="119">
        <f>SUM(H3:H17)</f>
        <v>18035</v>
      </c>
      <c r="I18" s="150" t="s">
        <v>81</v>
      </c>
      <c r="J18" s="120">
        <v>223</v>
      </c>
      <c r="K18" s="121">
        <f t="shared" si="0"/>
        <v>2344</v>
      </c>
      <c r="L18" s="122">
        <f t="shared" si="0"/>
        <v>1521</v>
      </c>
      <c r="M18" s="123">
        <f t="shared" si="0"/>
        <v>8237</v>
      </c>
      <c r="N18" s="93">
        <f t="shared" si="0"/>
        <v>1414</v>
      </c>
      <c r="O18" s="124">
        <f t="shared" si="0"/>
        <v>7454</v>
      </c>
      <c r="P18" s="150" t="s">
        <v>81</v>
      </c>
      <c r="Q18" s="193">
        <f t="shared" ref="Q18:R18" si="1">SUM(Q3:Q17)</f>
        <v>16</v>
      </c>
      <c r="R18" s="194">
        <f t="shared" si="1"/>
        <v>194</v>
      </c>
      <c r="S18" s="190">
        <f>SUM(S3:S17)</f>
        <v>99</v>
      </c>
      <c r="T18" s="125">
        <f t="shared" si="0"/>
        <v>1677</v>
      </c>
      <c r="U18" s="193">
        <f t="shared" si="0"/>
        <v>108</v>
      </c>
      <c r="V18" s="196">
        <f t="shared" si="0"/>
        <v>473</v>
      </c>
      <c r="W18" s="122">
        <f t="shared" si="0"/>
        <v>332</v>
      </c>
      <c r="X18" s="153">
        <f t="shared" si="0"/>
        <v>2272</v>
      </c>
      <c r="Y18" s="165">
        <f t="shared" si="0"/>
        <v>401</v>
      </c>
      <c r="Z18" s="166">
        <f t="shared" si="0"/>
        <v>2558</v>
      </c>
      <c r="AA18" s="165">
        <f t="shared" si="0"/>
        <v>606</v>
      </c>
      <c r="AB18" s="170">
        <f t="shared" si="0"/>
        <v>2247</v>
      </c>
      <c r="AC18" s="160">
        <f t="shared" si="0"/>
        <v>182</v>
      </c>
      <c r="AD18" s="152">
        <f t="shared" si="0"/>
        <v>1160</v>
      </c>
      <c r="AE18" s="93">
        <f t="shared" si="0"/>
        <v>716</v>
      </c>
      <c r="AF18" s="73">
        <f t="shared" si="0"/>
        <v>4731</v>
      </c>
      <c r="AG18" s="182">
        <f t="shared" si="0"/>
        <v>182</v>
      </c>
      <c r="AH18" s="183">
        <f t="shared" si="0"/>
        <v>490</v>
      </c>
      <c r="AI18" s="179">
        <f t="shared" si="0"/>
        <v>269</v>
      </c>
      <c r="AJ18" s="73">
        <f t="shared" si="0"/>
        <v>1417</v>
      </c>
      <c r="AK18" s="182">
        <f t="shared" si="0"/>
        <v>247</v>
      </c>
      <c r="AL18" s="183">
        <f t="shared" si="0"/>
        <v>816</v>
      </c>
      <c r="AM18" s="79"/>
    </row>
    <row r="19" spans="1:48" ht="16.2" thickTop="1" x14ac:dyDescent="0.3">
      <c r="A19" s="210"/>
      <c r="B19" s="210"/>
    </row>
    <row r="20" spans="1:48" x14ac:dyDescent="0.3">
      <c r="A20" s="210"/>
      <c r="B20" s="210"/>
    </row>
    <row r="21" spans="1:48" x14ac:dyDescent="0.3">
      <c r="A21" s="210"/>
      <c r="B21" s="210"/>
    </row>
    <row r="22" spans="1:48" x14ac:dyDescent="0.3">
      <c r="A22" s="2"/>
    </row>
    <row r="23" spans="1:48" x14ac:dyDescent="0.3">
      <c r="A23" s="2"/>
    </row>
    <row r="24" spans="1:48" x14ac:dyDescent="0.3">
      <c r="A24" s="2"/>
    </row>
    <row r="25" spans="1:48" x14ac:dyDescent="0.3">
      <c r="A25" s="2"/>
    </row>
    <row r="26" spans="1:48" x14ac:dyDescent="0.3">
      <c r="A26" s="2"/>
    </row>
    <row r="27" spans="1:48" x14ac:dyDescent="0.3">
      <c r="A27" s="2"/>
    </row>
    <row r="28" spans="1:48" x14ac:dyDescent="0.3">
      <c r="A28" s="2"/>
    </row>
    <row r="29" spans="1:48" x14ac:dyDescent="0.3">
      <c r="A29" s="2"/>
    </row>
    <row r="30" spans="1:48" x14ac:dyDescent="0.3">
      <c r="A30" s="2"/>
    </row>
    <row r="31" spans="1:48" x14ac:dyDescent="0.3">
      <c r="A31" s="2"/>
    </row>
    <row r="32" spans="1:48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</sheetData>
  <sortState xmlns:xlrd2="http://schemas.microsoft.com/office/spreadsheetml/2017/richdata2" columnSort="1" ref="A1:AO21">
    <sortCondition ref="S2:AM2"/>
  </sortState>
  <mergeCells count="20">
    <mergeCell ref="A20:B21"/>
    <mergeCell ref="A1:D1"/>
    <mergeCell ref="A19:B19"/>
    <mergeCell ref="J1:K1"/>
    <mergeCell ref="L1:M1"/>
    <mergeCell ref="G1:H1"/>
    <mergeCell ref="E1:F1"/>
    <mergeCell ref="E3:E7"/>
    <mergeCell ref="F3:F7"/>
    <mergeCell ref="E8:E13"/>
    <mergeCell ref="F8:F13"/>
    <mergeCell ref="E14:E17"/>
    <mergeCell ref="F14:F17"/>
    <mergeCell ref="C18:F18"/>
    <mergeCell ref="I1:I2"/>
    <mergeCell ref="P1:P2"/>
    <mergeCell ref="W1:AD1"/>
    <mergeCell ref="AE1:AL1"/>
    <mergeCell ref="N1:O1"/>
    <mergeCell ref="Q1:V1"/>
  </mergeCells>
  <conditionalFormatting sqref="Q3:R17">
    <cfRule type="cellIs" dxfId="0" priority="1" operator="greaterThan">
      <formula>116.5</formula>
    </cfRule>
  </conditionalFormatting>
  <hyperlinks>
    <hyperlink ref="D17" r:id="rId1" display="https://archive.org/details/throughspainreco00dickrich/page/n13/mode/2up" xr:uid="{B65BD2F7-3030-4DD8-9E66-829BA23D7C93}"/>
    <hyperlink ref="D16" r:id="rId2" display="https://www.gutenberg.org/ebooks/7430" xr:uid="{BC5C28BE-651A-4CD9-B459-BBBE27878BB5}"/>
    <hyperlink ref="D15" r:id="rId3" display="https://www.gutenberg.org/ebooks/40201" xr:uid="{B338EA06-0898-4DB5-8BB2-0C91C4782DDB}"/>
    <hyperlink ref="D9" r:id="rId4" display="https://archive.org/details/sunshadowinspain00elliuoft" xr:uid="{1BBD192C-944F-4D78-A20A-3AD5A49D9F1D}"/>
    <hyperlink ref="D7" r:id="rId5" display="https://www.gutenberg.org/ebooks/27252" xr:uid="{F4D48205-12A1-4E68-96EF-62F6181832FA}"/>
    <hyperlink ref="D6" r:id="rId6" display="https://archive.org/details/atrampinspain00unkngoog/page/n8/mode/2up" xr:uid="{301E4A48-EEEE-4488-BADA-AC13B76B83A8}"/>
    <hyperlink ref="D5" r:id="rId7" display="https://www.gutenberg.org/ebooks/59944" xr:uid="{B79205B5-91A6-46F0-A96E-62FDEEDBCFF0}"/>
    <hyperlink ref="D3" r:id="rId8" display="https://www.gutenberg.org/ebooks/38767" xr:uid="{B946F2F7-514E-4B2B-B04B-CF82F1CABAB3}"/>
    <hyperlink ref="D8" r:id="rId9" display="https://www.gutenberg.org/ebooks/37944" xr:uid="{B6F7DD07-8261-472F-A654-584BC2D9E8C2}"/>
    <hyperlink ref="D12" r:id="rId10" display="https://www.gutenberg.org/ebooks/41593" xr:uid="{54EA4656-F2CA-412B-A878-1F8ECD46BD82}"/>
    <hyperlink ref="D10" r:id="rId11" display="https://www.gutenberg.org/ebooks/40356" xr:uid="{D8488F9C-769D-4874-8813-2FEB4D192DC9}"/>
    <hyperlink ref="D4" r:id="rId12" display="https://archive.org/details/landofdons00will/page/n19/mode/2up" xr:uid="{7F43A86B-9BAB-4E8A-B804-0727156123A0}"/>
    <hyperlink ref="D14" r:id="rId13" display="https://www.gutenberg.org/ebooks/40357" xr:uid="{EAE024E8-79A2-4D96-BFB5-FE7227BE9EF7}"/>
    <hyperlink ref="D11" r:id="rId14" display="https://archive.org/details/spainoftodaynarr00shaw/page/n11/mode/2up" xr:uid="{745B2881-9608-47CD-91FE-5D658A22ABC1}"/>
    <hyperlink ref="D13" r:id="rId15" display="https://www.gutenberg.org/ebooks/author/39917" xr:uid="{35A74380-6EE2-4531-B4EF-1A23B374EDAB}"/>
  </hyperlinks>
  <pageMargins left="0.70866141732283472" right="0.70866141732283472" top="0.74803149606299213" bottom="0.74803149606299213" header="0.31496062992125984" footer="0.31496062992125984"/>
  <pageSetup paperSize="9"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9EF0E-19C1-4AC9-BB57-C6BB0BBB8E3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41E4D-883E-4343-8F83-09F91D0DECBF}">
  <dimension ref="A1:A29"/>
  <sheetViews>
    <sheetView zoomScale="60" zoomScaleNormal="60" workbookViewId="0">
      <selection activeCell="J18" sqref="J18"/>
    </sheetView>
  </sheetViews>
  <sheetFormatPr baseColWidth="10" defaultColWidth="8.88671875" defaultRowHeight="15.6" x14ac:dyDescent="0.3"/>
  <cols>
    <col min="1" max="16384" width="8.88671875" style="1"/>
  </cols>
  <sheetData>
    <row r="1" spans="1:1" ht="16.2" customHeight="1" x14ac:dyDescent="0.3">
      <c r="A1" s="2"/>
    </row>
    <row r="2" spans="1:1" x14ac:dyDescent="0.3">
      <c r="A2" s="2"/>
    </row>
    <row r="3" spans="1:1" ht="23.4" customHeight="1" x14ac:dyDescent="0.3">
      <c r="A3" s="2"/>
    </row>
    <row r="4" spans="1:1" ht="31.2" customHeight="1" x14ac:dyDescent="0.3">
      <c r="A4" s="2"/>
    </row>
    <row r="5" spans="1:1" ht="31.2" customHeight="1" x14ac:dyDescent="0.3">
      <c r="A5" s="2"/>
    </row>
    <row r="6" spans="1:1" ht="31.2" customHeight="1" x14ac:dyDescent="0.3">
      <c r="A6" s="2"/>
    </row>
    <row r="7" spans="1:1" ht="31.2" customHeight="1" x14ac:dyDescent="0.3">
      <c r="A7" s="2"/>
    </row>
    <row r="8" spans="1:1" x14ac:dyDescent="0.3">
      <c r="A8" s="2"/>
    </row>
    <row r="9" spans="1:1" x14ac:dyDescent="0.3">
      <c r="A9" s="2"/>
    </row>
    <row r="10" spans="1:1" x14ac:dyDescent="0.3">
      <c r="A10" s="2"/>
    </row>
    <row r="11" spans="1:1" ht="31.2" customHeight="1" x14ac:dyDescent="0.3">
      <c r="A11" s="2"/>
    </row>
    <row r="12" spans="1:1" x14ac:dyDescent="0.3">
      <c r="A12" s="2"/>
    </row>
    <row r="13" spans="1:1" ht="31.2" customHeight="1" x14ac:dyDescent="0.3">
      <c r="A13" s="2"/>
    </row>
    <row r="14" spans="1:1" ht="31.2" customHeight="1" x14ac:dyDescent="0.3">
      <c r="A14" s="2"/>
    </row>
    <row r="15" spans="1:1" ht="31.2" customHeight="1" x14ac:dyDescent="0.3">
      <c r="A15" s="2"/>
    </row>
    <row r="16" spans="1:1" ht="31.2" customHeight="1" x14ac:dyDescent="0.3">
      <c r="A16" s="2"/>
    </row>
    <row r="17" spans="1:1" ht="25.8" customHeight="1" x14ac:dyDescent="0.3">
      <c r="A17" s="2"/>
    </row>
    <row r="18" spans="1:1" ht="31.2" customHeight="1" x14ac:dyDescent="0.3">
      <c r="A18" s="2"/>
    </row>
    <row r="19" spans="1:1" x14ac:dyDescent="0.3">
      <c r="A19" s="2"/>
    </row>
    <row r="20" spans="1:1" ht="21" x14ac:dyDescent="0.3">
      <c r="A20" s="3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2"/>
    </row>
    <row r="29" spans="1:1" x14ac:dyDescent="0.3">
      <c r="A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RELACIÓN GENERAL</vt:lpstr>
      <vt:lpstr>Hoja1</vt:lpstr>
      <vt:lpstr>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cp:lastPrinted>2026-04-22T21:23:47Z</cp:lastPrinted>
  <dcterms:created xsi:type="dcterms:W3CDTF">2015-06-05T18:19:34Z</dcterms:created>
  <dcterms:modified xsi:type="dcterms:W3CDTF">2026-05-16T11:06:51Z</dcterms:modified>
</cp:coreProperties>
</file>