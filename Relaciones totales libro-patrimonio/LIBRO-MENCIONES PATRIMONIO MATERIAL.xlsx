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nio\Desktop\"/>
    </mc:Choice>
  </mc:AlternateContent>
  <xr:revisionPtr revIDLastSave="0" documentId="13_ncr:1_{953D38F5-8692-4B1F-B4EB-907ADEA6425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onumentos" sheetId="1" r:id="rId1"/>
    <sheet name="espacios públicos" sheetId="2" r:id="rId2"/>
    <sheet name="consumo y camino" sheetId="4" r:id="rId3"/>
    <sheet name="Espacios natural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19" i="1" l="1"/>
  <c r="BB19" i="1"/>
  <c r="AZ19" i="1"/>
  <c r="AY19" i="1"/>
  <c r="AO19" i="1"/>
  <c r="AP19" i="1"/>
  <c r="AN19" i="1"/>
  <c r="W19" i="1"/>
  <c r="Y19" i="1"/>
  <c r="X19" i="1"/>
  <c r="S19" i="1"/>
  <c r="T19" i="1"/>
  <c r="M19" i="1"/>
  <c r="N19" i="1"/>
  <c r="K19" i="1"/>
  <c r="L19" i="1"/>
  <c r="J19" i="1"/>
  <c r="H19" i="1"/>
  <c r="AE19" i="5"/>
  <c r="Z19" i="5"/>
  <c r="U19" i="5"/>
  <c r="V19" i="5"/>
  <c r="DE19" i="4"/>
  <c r="DF19" i="4"/>
  <c r="CP19" i="4"/>
  <c r="CH19" i="4"/>
  <c r="CG19" i="4"/>
  <c r="CE19" i="4"/>
  <c r="CC19" i="4"/>
  <c r="BY19" i="4"/>
  <c r="BW19" i="4"/>
  <c r="BV19" i="4"/>
  <c r="BJ19" i="4"/>
  <c r="BD19" i="4"/>
  <c r="BC19" i="4"/>
  <c r="BB19" i="4"/>
  <c r="AL19" i="4"/>
  <c r="Q19" i="4"/>
  <c r="N19" i="4"/>
  <c r="O19" i="4"/>
  <c r="DC19" i="4"/>
  <c r="DB19" i="4"/>
  <c r="CT19" i="4"/>
  <c r="CS19" i="4"/>
  <c r="CU19" i="4"/>
  <c r="CL19" i="4"/>
  <c r="CK19" i="4"/>
  <c r="CI19" i="4"/>
  <c r="CB19" i="4"/>
  <c r="CA19" i="4"/>
  <c r="BZ19" i="4"/>
  <c r="BX19" i="4"/>
  <c r="BL19" i="4"/>
  <c r="BK19" i="4"/>
  <c r="BG19" i="4"/>
  <c r="BF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K19" i="4"/>
  <c r="AB19" i="4"/>
  <c r="Z19" i="4"/>
  <c r="Y19" i="4"/>
  <c r="X19" i="4"/>
  <c r="V19" i="4"/>
  <c r="U19" i="4"/>
  <c r="T19" i="4"/>
  <c r="S19" i="4"/>
  <c r="R19" i="4"/>
  <c r="BM19" i="4"/>
  <c r="BH19" i="4"/>
  <c r="L19" i="4"/>
  <c r="K19" i="4"/>
  <c r="I19" i="4"/>
  <c r="BI19" i="4"/>
  <c r="CQ19" i="4"/>
  <c r="CF19" i="4"/>
  <c r="CD19" i="4"/>
  <c r="CN19" i="4"/>
  <c r="CM19" i="4"/>
  <c r="CJ19" i="4"/>
  <c r="CV19" i="4"/>
  <c r="CR19" i="4"/>
  <c r="CO19" i="4"/>
  <c r="BU19" i="4"/>
  <c r="DD19" i="4"/>
  <c r="DA19" i="4"/>
  <c r="CZ19" i="4"/>
  <c r="BE19" i="4"/>
  <c r="P19" i="4"/>
  <c r="M19" i="4"/>
  <c r="J19" i="4"/>
  <c r="H19" i="4"/>
  <c r="G19" i="4"/>
  <c r="AD19" i="5"/>
  <c r="AC19" i="5"/>
  <c r="AB19" i="5"/>
  <c r="AA19" i="5"/>
  <c r="Y19" i="5"/>
  <c r="X19" i="5"/>
  <c r="W19" i="5"/>
  <c r="M19" i="5"/>
  <c r="N19" i="5"/>
  <c r="AH19" i="5"/>
  <c r="AF19" i="5"/>
  <c r="AG19" i="5"/>
  <c r="G19" i="5"/>
  <c r="H19" i="5"/>
  <c r="I19" i="5"/>
  <c r="J19" i="5"/>
  <c r="K19" i="5"/>
  <c r="L19" i="5"/>
  <c r="O19" i="5"/>
  <c r="P19" i="5"/>
  <c r="Q19" i="5"/>
  <c r="R19" i="5"/>
  <c r="S19" i="5"/>
  <c r="BB19" i="2"/>
  <c r="AR19" i="2"/>
  <c r="L19" i="2"/>
  <c r="M19" i="2"/>
  <c r="H19" i="2"/>
  <c r="BC19" i="2"/>
  <c r="AV19" i="2"/>
  <c r="AT19" i="2"/>
  <c r="G19" i="2"/>
  <c r="AA19" i="2"/>
  <c r="AP19" i="2"/>
  <c r="AZ19" i="2"/>
  <c r="I19" i="2"/>
  <c r="K19" i="2"/>
  <c r="J19" i="2"/>
  <c r="R19" i="2"/>
  <c r="P19" i="2"/>
  <c r="Q19" i="2"/>
  <c r="S19" i="2"/>
  <c r="T19" i="2"/>
  <c r="U19" i="2"/>
  <c r="V19" i="2"/>
  <c r="W19" i="2"/>
  <c r="X19" i="2"/>
  <c r="Y19" i="2"/>
  <c r="Z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Q19" i="2"/>
  <c r="AS19" i="2"/>
  <c r="AU19" i="2"/>
  <c r="AW19" i="2"/>
  <c r="AX19" i="2"/>
  <c r="AY19" i="2"/>
  <c r="BA19" i="2"/>
  <c r="AT19" i="1"/>
  <c r="R19" i="1"/>
  <c r="Q19" i="1"/>
  <c r="P19" i="1"/>
  <c r="AA19" i="1"/>
  <c r="BE19" i="1"/>
  <c r="Z19" i="1"/>
  <c r="AC19" i="1"/>
  <c r="V19" i="1"/>
  <c r="U19" i="1"/>
  <c r="I19" i="1"/>
  <c r="G19" i="1"/>
  <c r="BA19" i="1"/>
  <c r="AX19" i="1"/>
  <c r="AW19" i="1"/>
  <c r="AV19" i="1"/>
  <c r="AU19" i="1"/>
  <c r="AS19" i="1"/>
  <c r="AR19" i="1"/>
  <c r="AQ19" i="1"/>
  <c r="AM19" i="1"/>
  <c r="AL19" i="1"/>
  <c r="AK19" i="1"/>
  <c r="AJ19" i="1"/>
  <c r="AI19" i="1"/>
  <c r="AH19" i="1"/>
  <c r="AG19" i="1"/>
  <c r="AF19" i="1"/>
  <c r="AE19" i="1"/>
  <c r="CW19" i="4"/>
  <c r="BD19" i="1"/>
  <c r="O19" i="2"/>
  <c r="AI19" i="5"/>
</calcChain>
</file>

<file path=xl/sharedStrings.xml><?xml version="1.0" encoding="utf-8"?>
<sst xmlns="http://schemas.openxmlformats.org/spreadsheetml/2006/main" count="761" uniqueCount="429">
  <si>
    <t>RELATOS DE VIAJES ANGLOSAJONES (1900-1914)</t>
  </si>
  <si>
    <t>AUTOR (fecha y nacionalidad angosajona)</t>
  </si>
  <si>
    <t>TÍTULO</t>
  </si>
  <si>
    <t>AÑO</t>
  </si>
  <si>
    <t>REPOSITORIO</t>
  </si>
  <si>
    <r>
      <t xml:space="preserve">Bates, Katharine Lee (1859-1929,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</si>
  <si>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 xml:space="preserve">Spanish Highway and Bayways </t>
  </si>
  <si>
    <t>Gutenberg</t>
  </si>
  <si>
    <t>Williams Leonard (1871-1934, UK)</t>
  </si>
  <si>
    <t>The land of the Dons</t>
  </si>
  <si>
    <t xml:space="preserve"> Internet archive</t>
  </si>
  <si>
    <t>Albert Frederick Calvert (1872-1946, UK)</t>
  </si>
  <si>
    <t>Impressions of Spain</t>
  </si>
  <si>
    <t xml:space="preserve">Bart Kennedy (1861-1930, UK) </t>
  </si>
  <si>
    <t>A tramp in Spain: from Andalusia to Andorra</t>
  </si>
  <si>
    <t>Internet archive</t>
  </si>
  <si>
    <t>Maugham William Somerset (1874-1965, FRA/UK)</t>
  </si>
  <si>
    <t xml:space="preserve">The land of the blessed virgin: sketches and impressions in Andalusia </t>
  </si>
  <si>
    <t>Southern Spain</t>
  </si>
  <si>
    <r>
      <t xml:space="preserve">Maude Howe Elliot (1854-1948,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</si>
  <si>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Sun and Shadow in Spain</t>
  </si>
  <si>
    <t>Collins, William Wiehe (1837, 1920, UK)</t>
  </si>
  <si>
    <t>Cathedral cities of Spain</t>
  </si>
  <si>
    <r>
      <t xml:space="preserve">Joseph Thompson Shaw (1874-1952,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</si>
  <si>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Spain of to-day: a narrative guide to the country of the dons with suggestions for travellers</t>
  </si>
  <si>
    <t xml:space="preserve">Abel Chapman (1851-1929, UK) y John Walter Buck (1843-1917 USA/UK) </t>
  </si>
  <si>
    <t>Unexplored Spain</t>
  </si>
  <si>
    <r>
      <rPr>
        <sz val="12"/>
        <color theme="1"/>
        <rFont val="Calibri"/>
        <family val="2"/>
        <scheme val="minor"/>
      </rPr>
      <t xml:space="preserve">Elizabeth Boyle O`Reilly (1874-1922, </t>
    </r>
    <r>
      <rPr>
        <b/>
        <sz val="12"/>
        <color theme="1"/>
        <rFont val="Calibri"/>
        <family val="2"/>
        <scheme val="minor"/>
      </rPr>
      <t>USA)</t>
    </r>
  </si>
  <si>
    <t>Heroic  Spain</t>
  </si>
  <si>
    <t xml:space="preserve"> Gutenberg </t>
  </si>
  <si>
    <r>
      <t xml:space="preserve">Harry Alverson Franck (1881-1962,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</si>
  <si>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Four months afoot in Spain</t>
  </si>
  <si>
    <t xml:space="preserve">Catherine Gasquoine Hartley (1874-1921, Madagascar/UK) </t>
  </si>
  <si>
    <t>Things seen in Spain</t>
  </si>
  <si>
    <r>
      <t xml:space="preserve">Howells William Dean (1837-1920,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</si>
  <si>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Family spanish travel</t>
  </si>
  <si>
    <t>Duncan Dickinson ¿fecha de nacimiento y muerte? (UK)</t>
  </si>
  <si>
    <t>Thorugh Spain</t>
  </si>
  <si>
    <t>Alhambra</t>
  </si>
  <si>
    <t>Torre del oro</t>
  </si>
  <si>
    <t>Alcázar</t>
  </si>
  <si>
    <t>mezquita</t>
  </si>
  <si>
    <t>barrio</t>
  </si>
  <si>
    <t>calle</t>
  </si>
  <si>
    <t>casa</t>
  </si>
  <si>
    <t>ciudad</t>
  </si>
  <si>
    <t>cortijo</t>
  </si>
  <si>
    <t>mercado</t>
  </si>
  <si>
    <t>parque</t>
  </si>
  <si>
    <t>patio</t>
  </si>
  <si>
    <t>plaza</t>
  </si>
  <si>
    <t>posada</t>
  </si>
  <si>
    <t>teatro</t>
  </si>
  <si>
    <t>mina</t>
  </si>
  <si>
    <t>aceite</t>
  </si>
  <si>
    <t>tabaco</t>
  </si>
  <si>
    <t>camino</t>
  </si>
  <si>
    <t>marismas</t>
  </si>
  <si>
    <t>rio</t>
  </si>
  <si>
    <t>del sur</t>
  </si>
  <si>
    <t>sur</t>
  </si>
  <si>
    <t>Wall</t>
  </si>
  <si>
    <t>palace</t>
  </si>
  <si>
    <t>mosque</t>
  </si>
  <si>
    <t>iglesia</t>
  </si>
  <si>
    <t>Church</t>
  </si>
  <si>
    <t>churches</t>
  </si>
  <si>
    <t>Cathedral</t>
  </si>
  <si>
    <t>Walls</t>
  </si>
  <si>
    <t>Bridge</t>
  </si>
  <si>
    <t>chapel</t>
  </si>
  <si>
    <t>castles</t>
  </si>
  <si>
    <t>port</t>
  </si>
  <si>
    <t>ports</t>
  </si>
  <si>
    <t>harbour</t>
  </si>
  <si>
    <t>Ruin</t>
  </si>
  <si>
    <t>castle</t>
  </si>
  <si>
    <t>bridges</t>
  </si>
  <si>
    <t>Ruins</t>
  </si>
  <si>
    <t>sherry</t>
  </si>
  <si>
    <t>wine</t>
  </si>
  <si>
    <t>bodega</t>
  </si>
  <si>
    <t>bodegas</t>
  </si>
  <si>
    <t>bocadillo</t>
  </si>
  <si>
    <t>house</t>
  </si>
  <si>
    <t>streets</t>
  </si>
  <si>
    <t>street</t>
  </si>
  <si>
    <t>houses</t>
  </si>
  <si>
    <t>town</t>
  </si>
  <si>
    <t>theatre</t>
  </si>
  <si>
    <t>square</t>
  </si>
  <si>
    <t>court</t>
  </si>
  <si>
    <t>patios</t>
  </si>
  <si>
    <t>market</t>
  </si>
  <si>
    <t>garden</t>
  </si>
  <si>
    <t>inn</t>
  </si>
  <si>
    <t>circus</t>
  </si>
  <si>
    <t>dwelling</t>
  </si>
  <si>
    <t>towns</t>
  </si>
  <si>
    <t>parks</t>
  </si>
  <si>
    <t>dwellings</t>
  </si>
  <si>
    <t>quarter</t>
  </si>
  <si>
    <t>village</t>
  </si>
  <si>
    <t>park</t>
  </si>
  <si>
    <t>inns</t>
  </si>
  <si>
    <t>NOMBRES PROPIOS</t>
  </si>
  <si>
    <t>Generalife</t>
  </si>
  <si>
    <t>Alcazar</t>
  </si>
  <si>
    <t>Golden Tower</t>
  </si>
  <si>
    <t>COMUNES</t>
  </si>
  <si>
    <t>puerto</t>
  </si>
  <si>
    <t>gorge</t>
  </si>
  <si>
    <t>Court of orange</t>
  </si>
  <si>
    <t>Patio de los leones</t>
  </si>
  <si>
    <t>capilla</t>
  </si>
  <si>
    <t>palaces</t>
  </si>
  <si>
    <t>castillo</t>
  </si>
  <si>
    <t>palacio</t>
  </si>
  <si>
    <t>cathedrals</t>
  </si>
  <si>
    <r>
      <t xml:space="preserve">24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136 </t>
    </r>
    <r>
      <rPr>
        <sz val="12"/>
        <rFont val="Calibri"/>
        <family val="2"/>
        <scheme val="minor"/>
      </rPr>
      <t>menciones</t>
    </r>
  </si>
  <si>
    <t>puente</t>
  </si>
  <si>
    <r>
      <t>12</t>
    </r>
    <r>
      <rPr>
        <sz val="12"/>
        <rFont val="Calibri"/>
        <family val="2"/>
        <scheme val="minor"/>
      </rPr>
      <t xml:space="preserve"> metadatos para</t>
    </r>
    <r>
      <rPr>
        <b/>
        <sz val="12"/>
        <rFont val="Calibri"/>
        <family val="2"/>
        <scheme val="minor"/>
      </rPr>
      <t xml:space="preserve"> 64 </t>
    </r>
    <r>
      <rPr>
        <sz val="12"/>
        <rFont val="Calibri"/>
        <family val="2"/>
        <scheme val="minor"/>
      </rPr>
      <t>menciones</t>
    </r>
  </si>
  <si>
    <t>Rampart</t>
  </si>
  <si>
    <r>
      <t xml:space="preserve">25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182 </t>
    </r>
    <r>
      <rPr>
        <sz val="12"/>
        <rFont val="Calibri"/>
        <family val="2"/>
        <scheme val="minor"/>
      </rPr>
      <t>menciones</t>
    </r>
  </si>
  <si>
    <r>
      <t xml:space="preserve">12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21 </t>
    </r>
    <r>
      <rPr>
        <sz val="12"/>
        <rFont val="Calibri"/>
        <family val="2"/>
        <scheme val="minor"/>
      </rPr>
      <t>menciones</t>
    </r>
  </si>
  <si>
    <t>tajo</t>
  </si>
  <si>
    <r>
      <t xml:space="preserve">24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202 </t>
    </r>
    <r>
      <rPr>
        <sz val="12"/>
        <rFont val="Calibri"/>
        <family val="2"/>
        <scheme val="minor"/>
      </rPr>
      <t>menciones</t>
    </r>
  </si>
  <si>
    <t>catedral</t>
  </si>
  <si>
    <t>tower of gold</t>
  </si>
  <si>
    <r>
      <t xml:space="preserve">30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179 </t>
    </r>
    <r>
      <rPr>
        <sz val="12"/>
        <rFont val="Calibri"/>
        <family val="2"/>
        <scheme val="minor"/>
      </rPr>
      <t>menciones</t>
    </r>
  </si>
  <si>
    <r>
      <t xml:space="preserve">21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131 </t>
    </r>
    <r>
      <rPr>
        <sz val="12"/>
        <rFont val="Calibri"/>
        <family val="2"/>
        <scheme val="minor"/>
      </rPr>
      <t>menciones</t>
    </r>
  </si>
  <si>
    <r>
      <t xml:space="preserve">14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44 </t>
    </r>
    <r>
      <rPr>
        <sz val="12"/>
        <rFont val="Calibri"/>
        <family val="2"/>
        <scheme val="minor"/>
      </rPr>
      <t>menciones</t>
    </r>
  </si>
  <si>
    <r>
      <t xml:space="preserve">16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52 </t>
    </r>
    <r>
      <rPr>
        <sz val="12"/>
        <rFont val="Calibri"/>
        <family val="2"/>
        <scheme val="minor"/>
      </rPr>
      <t>menciones</t>
    </r>
  </si>
  <si>
    <r>
      <t xml:space="preserve">17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60 </t>
    </r>
    <r>
      <rPr>
        <sz val="12"/>
        <rFont val="Calibri"/>
        <family val="2"/>
        <scheme val="minor"/>
      </rPr>
      <t>menciones</t>
    </r>
  </si>
  <si>
    <r>
      <t xml:space="preserve">29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278 </t>
    </r>
    <r>
      <rPr>
        <sz val="12"/>
        <rFont val="Calibri"/>
        <family val="2"/>
        <scheme val="minor"/>
      </rPr>
      <t>menciones</t>
    </r>
  </si>
  <si>
    <r>
      <t xml:space="preserve">22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149 </t>
    </r>
    <r>
      <rPr>
        <sz val="12"/>
        <rFont val="Calibri"/>
        <family val="2"/>
        <scheme val="minor"/>
      </rPr>
      <t>menciones</t>
    </r>
  </si>
  <si>
    <r>
      <t xml:space="preserve">19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135 </t>
    </r>
    <r>
      <rPr>
        <sz val="12"/>
        <rFont val="Calibri"/>
        <family val="2"/>
        <scheme val="minor"/>
      </rPr>
      <t>menciones</t>
    </r>
  </si>
  <si>
    <t>Patio  de los naranjos</t>
  </si>
  <si>
    <t>Pilatos</t>
  </si>
  <si>
    <t>Casa</t>
  </si>
  <si>
    <t>TOTALES CON VARIANTES UNIDAS</t>
  </si>
  <si>
    <t>TOTALES CON VARIANTES (SIN NEGRITA)</t>
  </si>
  <si>
    <t>Propios</t>
  </si>
  <si>
    <r>
      <t xml:space="preserve">30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164 </t>
    </r>
    <r>
      <rPr>
        <sz val="12"/>
        <rFont val="Calibri"/>
        <family val="2"/>
        <scheme val="minor"/>
      </rPr>
      <t>menciones</t>
    </r>
  </si>
  <si>
    <t>albaicin</t>
  </si>
  <si>
    <t>quarters</t>
  </si>
  <si>
    <t>theatres</t>
  </si>
  <si>
    <r>
      <t xml:space="preserve">21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51 </t>
    </r>
    <r>
      <rPr>
        <sz val="12"/>
        <rFont val="Calibri"/>
        <family val="2"/>
        <scheme val="minor"/>
      </rPr>
      <t>menciones</t>
    </r>
  </si>
  <si>
    <t>courts</t>
  </si>
  <si>
    <t>courtyard</t>
  </si>
  <si>
    <t>albaycin</t>
  </si>
  <si>
    <t>villages</t>
  </si>
  <si>
    <r>
      <t xml:space="preserve">30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139 </t>
    </r>
    <r>
      <rPr>
        <sz val="12"/>
        <rFont val="Calibri"/>
        <family val="2"/>
        <scheme val="minor"/>
      </rPr>
      <t>menciones</t>
    </r>
  </si>
  <si>
    <t>publo</t>
  </si>
  <si>
    <t>circo</t>
  </si>
  <si>
    <r>
      <t>30</t>
    </r>
    <r>
      <rPr>
        <sz val="12"/>
        <rFont val="Calibri"/>
        <family val="2"/>
        <scheme val="minor"/>
      </rPr>
      <t xml:space="preserve"> metadatos para</t>
    </r>
    <r>
      <rPr>
        <b/>
        <sz val="12"/>
        <rFont val="Calibri"/>
        <family val="2"/>
        <scheme val="minor"/>
      </rPr>
      <t xml:space="preserve"> 212 </t>
    </r>
    <r>
      <rPr>
        <sz val="12"/>
        <rFont val="Calibri"/>
        <family val="2"/>
        <scheme val="minor"/>
      </rPr>
      <t>menciones</t>
    </r>
  </si>
  <si>
    <r>
      <t xml:space="preserve">31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270 </t>
    </r>
    <r>
      <rPr>
        <sz val="12"/>
        <rFont val="Calibri"/>
        <family val="2"/>
        <scheme val="minor"/>
      </rPr>
      <t>menciones</t>
    </r>
  </si>
  <si>
    <r>
      <t xml:space="preserve">28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311 </t>
    </r>
    <r>
      <rPr>
        <sz val="12"/>
        <rFont val="Calibri"/>
        <family val="2"/>
        <scheme val="minor"/>
      </rPr>
      <t>menciones</t>
    </r>
  </si>
  <si>
    <r>
      <t xml:space="preserve">30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256 </t>
    </r>
    <r>
      <rPr>
        <sz val="12"/>
        <rFont val="Calibri"/>
        <family val="2"/>
        <scheme val="minor"/>
      </rPr>
      <t>menciones</t>
    </r>
  </si>
  <si>
    <r>
      <t xml:space="preserve">27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124 </t>
    </r>
    <r>
      <rPr>
        <sz val="12"/>
        <rFont val="Calibri"/>
        <family val="2"/>
        <scheme val="minor"/>
      </rPr>
      <t>menciones</t>
    </r>
  </si>
  <si>
    <r>
      <t xml:space="preserve">22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115 </t>
    </r>
    <r>
      <rPr>
        <sz val="12"/>
        <rFont val="Calibri"/>
        <family val="2"/>
        <scheme val="minor"/>
      </rPr>
      <t>menciones</t>
    </r>
  </si>
  <si>
    <r>
      <t xml:space="preserve">21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79 </t>
    </r>
    <r>
      <rPr>
        <sz val="12"/>
        <rFont val="Calibri"/>
        <family val="2"/>
        <scheme val="minor"/>
      </rPr>
      <t>menciones</t>
    </r>
  </si>
  <si>
    <t>farm</t>
  </si>
  <si>
    <r>
      <t xml:space="preserve">22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119 </t>
    </r>
    <r>
      <rPr>
        <sz val="12"/>
        <rFont val="Calibri"/>
        <family val="2"/>
        <scheme val="minor"/>
      </rPr>
      <t>menciones</t>
    </r>
  </si>
  <si>
    <r>
      <t xml:space="preserve">28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141 </t>
    </r>
    <r>
      <rPr>
        <sz val="12"/>
        <rFont val="Calibri"/>
        <family val="2"/>
        <scheme val="minor"/>
      </rPr>
      <t>menciones</t>
    </r>
  </si>
  <si>
    <r>
      <t xml:space="preserve">25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106 </t>
    </r>
    <r>
      <rPr>
        <sz val="12"/>
        <rFont val="Calibri"/>
        <family val="2"/>
        <scheme val="minor"/>
      </rPr>
      <t>menciones</t>
    </r>
  </si>
  <si>
    <t>jardin</t>
  </si>
  <si>
    <r>
      <t xml:space="preserve">29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317 </t>
    </r>
    <r>
      <rPr>
        <sz val="12"/>
        <rFont val="Calibri"/>
        <family val="2"/>
        <scheme val="minor"/>
      </rPr>
      <t>menciones</t>
    </r>
  </si>
  <si>
    <r>
      <t xml:space="preserve">27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154 </t>
    </r>
    <r>
      <rPr>
        <sz val="12"/>
        <rFont val="Calibri"/>
        <family val="2"/>
        <scheme val="minor"/>
      </rPr>
      <t>menciones</t>
    </r>
  </si>
  <si>
    <t>Court of the lions</t>
  </si>
  <si>
    <r>
      <t xml:space="preserve">39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458 </t>
    </r>
    <r>
      <rPr>
        <sz val="12"/>
        <rFont val="Calibri"/>
        <family val="2"/>
        <scheme val="minor"/>
      </rPr>
      <t>menciones</t>
    </r>
  </si>
  <si>
    <t>PROPIOS</t>
  </si>
  <si>
    <t>Relación metadatos con sus  menciones (401 para 2558)</t>
  </si>
  <si>
    <t>mine</t>
  </si>
  <si>
    <t>mining</t>
  </si>
  <si>
    <t>Mountain</t>
  </si>
  <si>
    <t>mountains</t>
  </si>
  <si>
    <t>montana</t>
  </si>
  <si>
    <t>river</t>
  </si>
  <si>
    <t>marisma</t>
  </si>
  <si>
    <r>
      <t xml:space="preserve">7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23 </t>
    </r>
    <r>
      <rPr>
        <sz val="12"/>
        <rFont val="Calibri"/>
        <family val="2"/>
        <scheme val="minor"/>
      </rPr>
      <t>menciones</t>
    </r>
  </si>
  <si>
    <r>
      <t xml:space="preserve">14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60 </t>
    </r>
    <r>
      <rPr>
        <sz val="12"/>
        <rFont val="Calibri"/>
        <family val="2"/>
        <scheme val="minor"/>
      </rPr>
      <t>menciones</t>
    </r>
  </si>
  <si>
    <r>
      <t xml:space="preserve">14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116 </t>
    </r>
    <r>
      <rPr>
        <sz val="12"/>
        <rFont val="Calibri"/>
        <family val="2"/>
        <scheme val="minor"/>
      </rPr>
      <t>menciones</t>
    </r>
  </si>
  <si>
    <t>Mulhacen</t>
  </si>
  <si>
    <t>Mulay Hasan</t>
  </si>
  <si>
    <r>
      <t>12</t>
    </r>
    <r>
      <rPr>
        <sz val="12"/>
        <rFont val="Calibri"/>
        <family val="2"/>
        <scheme val="minor"/>
      </rPr>
      <t xml:space="preserve"> metadatos para</t>
    </r>
    <r>
      <rPr>
        <b/>
        <sz val="12"/>
        <rFont val="Calibri"/>
        <family val="2"/>
        <scheme val="minor"/>
      </rPr>
      <t xml:space="preserve"> 110 </t>
    </r>
    <r>
      <rPr>
        <sz val="12"/>
        <rFont val="Calibri"/>
        <family val="2"/>
        <scheme val="minor"/>
      </rPr>
      <t>menciones</t>
    </r>
  </si>
  <si>
    <r>
      <t xml:space="preserve">11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85 </t>
    </r>
    <r>
      <rPr>
        <sz val="12"/>
        <rFont val="Calibri"/>
        <family val="2"/>
        <scheme val="minor"/>
      </rPr>
      <t>menciones</t>
    </r>
  </si>
  <si>
    <t>rivers</t>
  </si>
  <si>
    <r>
      <t xml:space="preserve">19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123 </t>
    </r>
    <r>
      <rPr>
        <sz val="12"/>
        <rFont val="Calibri"/>
        <family val="2"/>
        <scheme val="minor"/>
      </rPr>
      <t>menciones</t>
    </r>
  </si>
  <si>
    <r>
      <t xml:space="preserve">9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65 </t>
    </r>
    <r>
      <rPr>
        <sz val="12"/>
        <rFont val="Calibri"/>
        <family val="2"/>
        <scheme val="minor"/>
      </rPr>
      <t>menciones</t>
    </r>
  </si>
  <si>
    <r>
      <t xml:space="preserve">13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63 </t>
    </r>
    <r>
      <rPr>
        <sz val="12"/>
        <rFont val="Calibri"/>
        <family val="2"/>
        <scheme val="minor"/>
      </rPr>
      <t>menciones</t>
    </r>
  </si>
  <si>
    <r>
      <t xml:space="preserve">9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31 </t>
    </r>
    <r>
      <rPr>
        <sz val="12"/>
        <rFont val="Calibri"/>
        <family val="2"/>
        <scheme val="minor"/>
      </rPr>
      <t>menciones</t>
    </r>
  </si>
  <si>
    <r>
      <t xml:space="preserve">21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256 </t>
    </r>
    <r>
      <rPr>
        <sz val="12"/>
        <rFont val="Calibri"/>
        <family val="2"/>
        <scheme val="minor"/>
      </rPr>
      <t>menciones</t>
    </r>
  </si>
  <si>
    <r>
      <t xml:space="preserve">9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28 </t>
    </r>
    <r>
      <rPr>
        <sz val="12"/>
        <rFont val="Calibri"/>
        <family val="2"/>
        <scheme val="minor"/>
      </rPr>
      <t>menciones</t>
    </r>
  </si>
  <si>
    <r>
      <t xml:space="preserve">16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48 </t>
    </r>
    <r>
      <rPr>
        <sz val="12"/>
        <rFont val="Calibri"/>
        <family val="2"/>
        <scheme val="minor"/>
      </rPr>
      <t>menciones</t>
    </r>
  </si>
  <si>
    <r>
      <t xml:space="preserve">7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17 </t>
    </r>
    <r>
      <rPr>
        <sz val="12"/>
        <rFont val="Calibri"/>
        <family val="2"/>
        <scheme val="minor"/>
      </rPr>
      <t>menciones</t>
    </r>
  </si>
  <si>
    <r>
      <t xml:space="preserve">13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81 </t>
    </r>
    <r>
      <rPr>
        <sz val="12"/>
        <rFont val="Calibri"/>
        <family val="2"/>
        <scheme val="minor"/>
      </rPr>
      <t>menciones</t>
    </r>
  </si>
  <si>
    <r>
      <t xml:space="preserve">8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54 </t>
    </r>
    <r>
      <rPr>
        <sz val="12"/>
        <rFont val="Calibri"/>
        <family val="2"/>
        <scheme val="minor"/>
      </rPr>
      <t>menciones</t>
    </r>
  </si>
  <si>
    <t>Relación metadatos con sus  menciones (182 para 1160)</t>
  </si>
  <si>
    <t>train</t>
  </si>
  <si>
    <t>road</t>
  </si>
  <si>
    <t>peseta</t>
  </si>
  <si>
    <t>pesetas</t>
  </si>
  <si>
    <t>carriage</t>
  </si>
  <si>
    <t>cigarette</t>
  </si>
  <si>
    <t>horse</t>
  </si>
  <si>
    <t>horses</t>
  </si>
  <si>
    <t>mule</t>
  </si>
  <si>
    <t>route</t>
  </si>
  <si>
    <t xml:space="preserve"> vino</t>
  </si>
  <si>
    <t>mantilla</t>
  </si>
  <si>
    <t>shawl</t>
  </si>
  <si>
    <t>shawls</t>
  </si>
  <si>
    <t>mantillas</t>
  </si>
  <si>
    <t>cigarettes</t>
  </si>
  <si>
    <t>trip</t>
  </si>
  <si>
    <t>journey</t>
  </si>
  <si>
    <t>fan</t>
  </si>
  <si>
    <t>abanicos</t>
  </si>
  <si>
    <t>roads</t>
  </si>
  <si>
    <t>path</t>
  </si>
  <si>
    <t>carriages</t>
  </si>
  <si>
    <t>tobacco</t>
  </si>
  <si>
    <t>travel</t>
  </si>
  <si>
    <t>donkey</t>
  </si>
  <si>
    <t>cafe</t>
  </si>
  <si>
    <t>oil</t>
  </si>
  <si>
    <t>travellers</t>
  </si>
  <si>
    <t>trains</t>
  </si>
  <si>
    <t>coffee</t>
  </si>
  <si>
    <t>tavern</t>
  </si>
  <si>
    <t>taverns</t>
  </si>
  <si>
    <t>fonda</t>
  </si>
  <si>
    <t>garbanzos</t>
  </si>
  <si>
    <t>garbanzo</t>
  </si>
  <si>
    <t>markets</t>
  </si>
  <si>
    <t>tourist</t>
  </si>
  <si>
    <t>diligence</t>
  </si>
  <si>
    <t>ox</t>
  </si>
  <si>
    <t>oxen</t>
  </si>
  <si>
    <t>mules</t>
  </si>
  <si>
    <t>velos</t>
  </si>
  <si>
    <t>veil</t>
  </si>
  <si>
    <t>railway</t>
  </si>
  <si>
    <t>railroad</t>
  </si>
  <si>
    <r>
      <t xml:space="preserve">50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207 </t>
    </r>
    <r>
      <rPr>
        <sz val="12"/>
        <rFont val="Calibri"/>
        <family val="2"/>
        <scheme val="minor"/>
      </rPr>
      <t>menciones</t>
    </r>
  </si>
  <si>
    <t>guitar</t>
  </si>
  <si>
    <t>highway</t>
  </si>
  <si>
    <t>traveller</t>
  </si>
  <si>
    <t>tourists</t>
  </si>
  <si>
    <t>guitarras</t>
  </si>
  <si>
    <r>
      <t xml:space="preserve">35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93 </t>
    </r>
    <r>
      <rPr>
        <sz val="12"/>
        <rFont val="Calibri"/>
        <family val="2"/>
        <scheme val="minor"/>
      </rPr>
      <t>menciones</t>
    </r>
  </si>
  <si>
    <t>railways</t>
  </si>
  <si>
    <t>tabacos</t>
  </si>
  <si>
    <t>fondas</t>
  </si>
  <si>
    <t>highways</t>
  </si>
  <si>
    <t>railroads</t>
  </si>
  <si>
    <t>cafés</t>
  </si>
  <si>
    <r>
      <t xml:space="preserve">34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100 </t>
    </r>
    <r>
      <rPr>
        <sz val="12"/>
        <rFont val="Calibri"/>
        <family val="2"/>
        <scheme val="minor"/>
      </rPr>
      <t>menciones</t>
    </r>
  </si>
  <si>
    <t>journeys</t>
  </si>
  <si>
    <t>travels</t>
  </si>
  <si>
    <r>
      <t>36</t>
    </r>
    <r>
      <rPr>
        <sz val="12"/>
        <rFont val="Calibri"/>
        <family val="2"/>
        <scheme val="minor"/>
      </rPr>
      <t xml:space="preserve"> metadatos para</t>
    </r>
    <r>
      <rPr>
        <b/>
        <sz val="12"/>
        <rFont val="Calibri"/>
        <family val="2"/>
        <scheme val="minor"/>
      </rPr>
      <t xml:space="preserve"> 239 </t>
    </r>
    <r>
      <rPr>
        <sz val="12"/>
        <rFont val="Calibri"/>
        <family val="2"/>
        <scheme val="minor"/>
      </rPr>
      <t>menciones</t>
    </r>
  </si>
  <si>
    <t>cigarrillo</t>
  </si>
  <si>
    <r>
      <t xml:space="preserve">59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300 </t>
    </r>
    <r>
      <rPr>
        <sz val="12"/>
        <rFont val="Calibri"/>
        <family val="2"/>
        <scheme val="minor"/>
      </rPr>
      <t>menciones</t>
    </r>
  </si>
  <si>
    <r>
      <t xml:space="preserve">31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91 </t>
    </r>
    <r>
      <rPr>
        <sz val="12"/>
        <rFont val="Calibri"/>
        <family val="2"/>
        <scheme val="minor"/>
      </rPr>
      <t>menciones</t>
    </r>
  </si>
  <si>
    <t>routes</t>
  </si>
  <si>
    <r>
      <t xml:space="preserve">53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206 </t>
    </r>
    <r>
      <rPr>
        <sz val="12"/>
        <rFont val="Calibri"/>
        <family val="2"/>
        <scheme val="minor"/>
      </rPr>
      <t>menciones</t>
    </r>
  </si>
  <si>
    <r>
      <t xml:space="preserve">25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38 </t>
    </r>
    <r>
      <rPr>
        <sz val="12"/>
        <rFont val="Calibri"/>
        <family val="2"/>
        <scheme val="minor"/>
      </rPr>
      <t>menciones</t>
    </r>
  </si>
  <si>
    <r>
      <t xml:space="preserve">26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71 </t>
    </r>
    <r>
      <rPr>
        <sz val="12"/>
        <rFont val="Calibri"/>
        <family val="2"/>
        <scheme val="minor"/>
      </rPr>
      <t>menciones</t>
    </r>
  </si>
  <si>
    <t>bocadillos</t>
  </si>
  <si>
    <r>
      <t xml:space="preserve">48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130 </t>
    </r>
    <r>
      <rPr>
        <sz val="12"/>
        <rFont val="Calibri"/>
        <family val="2"/>
        <scheme val="minor"/>
      </rPr>
      <t>menciones</t>
    </r>
  </si>
  <si>
    <r>
      <t xml:space="preserve">29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58 </t>
    </r>
    <r>
      <rPr>
        <sz val="12"/>
        <rFont val="Calibri"/>
        <family val="2"/>
        <scheme val="minor"/>
      </rPr>
      <t>menciones</t>
    </r>
  </si>
  <si>
    <t>viajeros</t>
  </si>
  <si>
    <t>socco</t>
  </si>
  <si>
    <r>
      <t xml:space="preserve">51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222 </t>
    </r>
    <r>
      <rPr>
        <sz val="12"/>
        <rFont val="Calibri"/>
        <family val="2"/>
        <scheme val="minor"/>
      </rPr>
      <t>menciones</t>
    </r>
  </si>
  <si>
    <t>cigarres</t>
  </si>
  <si>
    <t>diligences</t>
  </si>
  <si>
    <r>
      <t xml:space="preserve">46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104 </t>
    </r>
    <r>
      <rPr>
        <sz val="12"/>
        <rFont val="Calibri"/>
        <family val="2"/>
        <scheme val="minor"/>
      </rPr>
      <t>menciones</t>
    </r>
  </si>
  <si>
    <r>
      <t xml:space="preserve">45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239 </t>
    </r>
    <r>
      <rPr>
        <sz val="12"/>
        <rFont val="Calibri"/>
        <family val="2"/>
        <scheme val="minor"/>
      </rPr>
      <t>menciones</t>
    </r>
  </si>
  <si>
    <t>Relación metadatos con sus  menciones (606 para 2247)</t>
  </si>
  <si>
    <t>1.1 ALIMENTACIÓN (128 metadatos para 368 menciones)</t>
  </si>
  <si>
    <t>1.2 ESTABLECIMIENTOS (60 metadatos para 163 menciones</t>
  </si>
  <si>
    <t>2.1 GENERAL Y MEDIOS DE TRANSPORTE (237 metadatos para 977 menciones)</t>
  </si>
  <si>
    <t>2.2 ANIMALES DE VIAJE (76 metadatos para 366 menciones)</t>
  </si>
  <si>
    <t>1.3 OBJETOS (105 metadatos para 373 menciones)</t>
  </si>
  <si>
    <t>C</t>
  </si>
  <si>
    <t>A</t>
  </si>
  <si>
    <t>P</t>
  </si>
  <si>
    <t>I</t>
  </si>
  <si>
    <t>T</t>
  </si>
  <si>
    <t>L</t>
  </si>
  <si>
    <t>E</t>
  </si>
  <si>
    <t>S</t>
  </si>
  <si>
    <t>Todos los totales tienen fondo.</t>
  </si>
  <si>
    <t>Con fondo oscuro las tres menciones más altas por metadato entre los 15 relatos. Más negrita, la mención más alta</t>
  </si>
  <si>
    <t>N</t>
  </si>
  <si>
    <t>R</t>
  </si>
  <si>
    <t>M</t>
  </si>
  <si>
    <t>U</t>
  </si>
  <si>
    <t>O</t>
  </si>
  <si>
    <t>B</t>
  </si>
  <si>
    <t>G</t>
  </si>
  <si>
    <t>J</t>
  </si>
  <si>
    <t>V</t>
  </si>
  <si>
    <t>D</t>
  </si>
  <si>
    <t>MANTILLA</t>
  </si>
  <si>
    <t>TABACO</t>
  </si>
  <si>
    <t>VINO</t>
  </si>
  <si>
    <t>CAFÉ</t>
  </si>
  <si>
    <t>ACEITE</t>
  </si>
  <si>
    <t>AGUARDIENTE</t>
  </si>
  <si>
    <t>GRAPE (UVA)</t>
  </si>
  <si>
    <t>GARLIC (AJO)</t>
  </si>
  <si>
    <t>GARBANZOS</t>
  </si>
  <si>
    <t>OLLA</t>
  </si>
  <si>
    <t>PUCHERO</t>
  </si>
  <si>
    <t>BOCADILLO</t>
  </si>
  <si>
    <t>WATER-JAR (CÁNATARO)</t>
  </si>
  <si>
    <t>TORTILLA</t>
  </si>
  <si>
    <t>MEMBRILLO</t>
  </si>
  <si>
    <t>GAZPACHO</t>
  </si>
  <si>
    <t>COCIDO</t>
  </si>
  <si>
    <t>POSADA</t>
  </si>
  <si>
    <t>MERCADO</t>
  </si>
  <si>
    <t>FONDA</t>
  </si>
  <si>
    <t>TABERNA</t>
  </si>
  <si>
    <t>BODEGA</t>
  </si>
  <si>
    <t>VENTA</t>
  </si>
  <si>
    <t>PESETAS</t>
  </si>
  <si>
    <t>GUITARRA</t>
  </si>
  <si>
    <t>ABANICO</t>
  </si>
  <si>
    <t>VELO</t>
  </si>
  <si>
    <t>CAPA</t>
  </si>
  <si>
    <t>BRASERO</t>
  </si>
  <si>
    <t>HAIR COMBS (PEINETA)</t>
  </si>
  <si>
    <t>MILL (MOLINO)</t>
  </si>
  <si>
    <t>RED SASH (FAJA ROJA)</t>
  </si>
  <si>
    <t>BARRENO</t>
  </si>
  <si>
    <t xml:space="preserve">TRABUCO </t>
  </si>
  <si>
    <t>ALFORJA</t>
  </si>
  <si>
    <t>CAMINO</t>
  </si>
  <si>
    <t>VIAJE</t>
  </si>
  <si>
    <t>TREN</t>
  </si>
  <si>
    <t>CARRUAJE</t>
  </si>
  <si>
    <t>FERROCARRIL</t>
  </si>
  <si>
    <t>TURISTA</t>
  </si>
  <si>
    <t>A CABALLO</t>
  </si>
  <si>
    <t>DILIGENCIA</t>
  </si>
  <si>
    <t>TOUR</t>
  </si>
  <si>
    <t>CABALLO</t>
  </si>
  <si>
    <t>MULA</t>
  </si>
  <si>
    <t>BURRO</t>
  </si>
  <si>
    <t>BUEY</t>
  </si>
  <si>
    <t>GUADALQUIVIR</t>
  </si>
  <si>
    <t>SIERRA NEVADA</t>
  </si>
  <si>
    <t>SIERRA MORENA</t>
  </si>
  <si>
    <t>DARRO</t>
  </si>
  <si>
    <t>DOÑANA</t>
  </si>
  <si>
    <t>GENIL</t>
  </si>
  <si>
    <t>MULHACÉN</t>
  </si>
  <si>
    <t>DESPEÑAPERROS</t>
  </si>
  <si>
    <t>GUADALEVIN</t>
  </si>
  <si>
    <t>SIERRA BERMEJA</t>
  </si>
  <si>
    <t>SIERRA GRAZALEMA</t>
  </si>
  <si>
    <t>GUADALETE</t>
  </si>
  <si>
    <t>MONTAÑA</t>
  </si>
  <si>
    <t>SUR</t>
  </si>
  <si>
    <t>RIO</t>
  </si>
  <si>
    <t>MAR</t>
  </si>
  <si>
    <t>COBRE</t>
  </si>
  <si>
    <t>MINA</t>
  </si>
  <si>
    <t>MARISMAS</t>
  </si>
  <si>
    <t>CONJUNTO MONUMENTAL ALHAMBRA</t>
  </si>
  <si>
    <t>MEZQUITA DE CÓRDOBA</t>
  </si>
  <si>
    <t>ALCÁZAR DE SEVILLA</t>
  </si>
  <si>
    <t>GIRALDA DE SEVILLA</t>
  </si>
  <si>
    <t>TAJO DE RONDA</t>
  </si>
  <si>
    <t>ITÁLICA</t>
  </si>
  <si>
    <t>PATIO DE LOS NARANJOS</t>
  </si>
  <si>
    <t>CASA DE PILATOS</t>
  </si>
  <si>
    <t>TORRE DEL ORO</t>
  </si>
  <si>
    <t>GIBRALFARO</t>
  </si>
  <si>
    <t>ALCAZABA</t>
  </si>
  <si>
    <t>TORRE CALAHORRA</t>
  </si>
  <si>
    <t>MEDINAT-AZ-AHRA</t>
  </si>
  <si>
    <t>CATEDRAL</t>
  </si>
  <si>
    <t>IGLESIA</t>
  </si>
  <si>
    <t>MURALLA</t>
  </si>
  <si>
    <t>PALACIO</t>
  </si>
  <si>
    <t>CAPILLA</t>
  </si>
  <si>
    <t>PUIENTE</t>
  </si>
  <si>
    <t>RUINA</t>
  </si>
  <si>
    <t>PUERTO</t>
  </si>
  <si>
    <t>CASTILLO</t>
  </si>
  <si>
    <t>SIERPES</t>
  </si>
  <si>
    <t>TRIANA</t>
  </si>
  <si>
    <t>ALBAICIN</t>
  </si>
  <si>
    <t>PLAZA SAN FERNANDO</t>
  </si>
  <si>
    <t>MALAGUETA</t>
  </si>
  <si>
    <t>SACROMONTE (MONTESACRO)</t>
  </si>
  <si>
    <t>CASA</t>
  </si>
  <si>
    <t>CALLE</t>
  </si>
  <si>
    <t>CIUDAD</t>
  </si>
  <si>
    <t>PATIO</t>
  </si>
  <si>
    <t>PLAZA</t>
  </si>
  <si>
    <t>PUEBLO</t>
  </si>
  <si>
    <t>BARRIO</t>
  </si>
  <si>
    <t>JARDÍN</t>
  </si>
  <si>
    <t>PARQUE</t>
  </si>
  <si>
    <t>HOSPITAL</t>
  </si>
  <si>
    <t>TEATRO</t>
  </si>
  <si>
    <t>CORTIJO</t>
  </si>
  <si>
    <t>CEMETERY</t>
  </si>
  <si>
    <t>GAOL(CÁRCEL</t>
  </si>
  <si>
    <t>CIRCO</t>
  </si>
  <si>
    <t>JUDERÍA</t>
  </si>
  <si>
    <t>CASCO HISTÓRICO</t>
  </si>
  <si>
    <t xml:space="preserve">CLOISTER (CLAUSTRO) </t>
  </si>
  <si>
    <t>Relación metadatos con sus  menciones (332 para 2272)</t>
  </si>
  <si>
    <r>
      <t xml:space="preserve">28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181 </t>
    </r>
    <r>
      <rPr>
        <sz val="12"/>
        <rFont val="Calibri"/>
        <family val="2"/>
        <scheme val="minor"/>
      </rPr>
      <t>menciones</t>
    </r>
  </si>
  <si>
    <r>
      <t xml:space="preserve">TOTAL DE MENCIONES. </t>
    </r>
    <r>
      <rPr>
        <b/>
        <sz val="22"/>
        <color theme="1"/>
        <rFont val="Calibri"/>
        <family val="2"/>
        <scheme val="minor"/>
      </rPr>
      <t>2247</t>
    </r>
    <r>
      <rPr>
        <sz val="22"/>
        <color theme="1"/>
        <rFont val="Calibri"/>
        <family val="2"/>
        <scheme val="minor"/>
      </rPr>
      <t xml:space="preserve"> (de 606 metadatos): </t>
    </r>
    <r>
      <rPr>
        <b/>
        <sz val="22"/>
        <color theme="1"/>
        <rFont val="Calibri"/>
        <family val="2"/>
        <scheme val="minor"/>
      </rPr>
      <t xml:space="preserve"> </t>
    </r>
  </si>
  <si>
    <r>
      <t>TOTAL DE MENCIONES:</t>
    </r>
    <r>
      <rPr>
        <b/>
        <sz val="22"/>
        <color theme="1"/>
        <rFont val="Calibri"/>
        <family val="2"/>
        <scheme val="minor"/>
      </rPr>
      <t xml:space="preserve"> 1160</t>
    </r>
    <r>
      <rPr>
        <sz val="22"/>
        <color theme="1"/>
        <rFont val="Calibri"/>
        <family val="2"/>
        <scheme val="minor"/>
      </rPr>
      <t xml:space="preserve"> (de 182 metadatos):</t>
    </r>
  </si>
  <si>
    <r>
      <rPr>
        <b/>
        <sz val="22"/>
        <color theme="1"/>
        <rFont val="Calibri"/>
        <family val="2"/>
        <scheme val="minor"/>
      </rPr>
      <t xml:space="preserve"> 244 </t>
    </r>
    <r>
      <rPr>
        <sz val="22"/>
        <color theme="1"/>
        <rFont val="Calibri"/>
        <family val="2"/>
        <scheme val="minor"/>
      </rPr>
      <t xml:space="preserve">son nombres propios  (de 55 metadatos) y </t>
    </r>
    <r>
      <rPr>
        <b/>
        <sz val="22"/>
        <color theme="1"/>
        <rFont val="Calibri"/>
        <family val="2"/>
        <scheme val="minor"/>
      </rPr>
      <t xml:space="preserve">916 </t>
    </r>
    <r>
      <rPr>
        <sz val="22"/>
        <color theme="1"/>
        <rFont val="Calibri"/>
        <family val="2"/>
        <scheme val="minor"/>
      </rPr>
      <t>son comunes (de 127 metadatos)</t>
    </r>
  </si>
  <si>
    <r>
      <rPr>
        <b/>
        <sz val="22"/>
        <color theme="1"/>
        <rFont val="Calibri"/>
        <family val="2"/>
        <scheme val="minor"/>
      </rPr>
      <t xml:space="preserve"> 904</t>
    </r>
    <r>
      <rPr>
        <sz val="22"/>
        <color theme="1"/>
        <rFont val="Calibri"/>
        <family val="2"/>
        <scheme val="minor"/>
      </rPr>
      <t xml:space="preserve"> (de 293 metadatos) son de CONSUMO con 368 de alimentación, 163 de establecimiento  y 373 de objetos</t>
    </r>
  </si>
  <si>
    <r>
      <rPr>
        <b/>
        <sz val="22"/>
        <color theme="1"/>
        <rFont val="Calibri"/>
        <family val="2"/>
        <scheme val="minor"/>
      </rPr>
      <t xml:space="preserve">1343 </t>
    </r>
    <r>
      <rPr>
        <sz val="22"/>
        <color theme="1"/>
        <rFont val="Calibri"/>
        <family val="2"/>
        <scheme val="minor"/>
      </rPr>
      <t>(de 313 metadatos) son de VIAJES con 977 de conceptos/medios de transporte y 366 de animales de viaje)</t>
    </r>
  </si>
  <si>
    <r>
      <t>TOTAL DE MENCIONES:</t>
    </r>
    <r>
      <rPr>
        <b/>
        <sz val="22"/>
        <color theme="1"/>
        <rFont val="Calibri"/>
        <family val="2"/>
        <scheme val="minor"/>
      </rPr>
      <t xml:space="preserve"> 2558 </t>
    </r>
    <r>
      <rPr>
        <sz val="22"/>
        <color theme="1"/>
        <rFont val="Calibri"/>
        <family val="2"/>
        <scheme val="minor"/>
      </rPr>
      <t>(de 401 metadatos):</t>
    </r>
  </si>
  <si>
    <r>
      <rPr>
        <b/>
        <sz val="22"/>
        <color theme="1"/>
        <rFont val="Calibri"/>
        <family val="2"/>
        <scheme val="minor"/>
      </rPr>
      <t xml:space="preserve"> 104</t>
    </r>
    <r>
      <rPr>
        <sz val="22"/>
        <color theme="1"/>
        <rFont val="Calibri"/>
        <family val="2"/>
        <scheme val="minor"/>
      </rPr>
      <t xml:space="preserve"> son nombres propios (de 38 metadatos) y </t>
    </r>
    <r>
      <rPr>
        <b/>
        <sz val="22"/>
        <color theme="1"/>
        <rFont val="Calibri"/>
        <family val="2"/>
        <scheme val="minor"/>
      </rPr>
      <t xml:space="preserve">2454 </t>
    </r>
    <r>
      <rPr>
        <sz val="22"/>
        <color theme="1"/>
        <rFont val="Calibri"/>
        <family val="2"/>
        <scheme val="minor"/>
      </rPr>
      <t>son comunes (de 363 metadatos)</t>
    </r>
  </si>
  <si>
    <r>
      <t>TOTAL DE MENCIONES:</t>
    </r>
    <r>
      <rPr>
        <b/>
        <sz val="22"/>
        <color theme="1"/>
        <rFont val="Calibri"/>
        <family val="2"/>
        <scheme val="minor"/>
      </rPr>
      <t xml:space="preserve"> 2272 </t>
    </r>
    <r>
      <rPr>
        <sz val="22"/>
        <color theme="1"/>
        <rFont val="Calibri"/>
        <family val="2"/>
        <scheme val="minor"/>
      </rPr>
      <t>(de 332 metadatos):</t>
    </r>
  </si>
  <si>
    <r>
      <rPr>
        <b/>
        <sz val="22"/>
        <color theme="1"/>
        <rFont val="Calibri"/>
        <family val="2"/>
        <scheme val="minor"/>
      </rPr>
      <t>752</t>
    </r>
    <r>
      <rPr>
        <sz val="22"/>
        <color theme="1"/>
        <rFont val="Calibri"/>
        <family val="2"/>
        <scheme val="minor"/>
      </rPr>
      <t xml:space="preserve"> son nombres propios (de 121 metadatos) y </t>
    </r>
    <r>
      <rPr>
        <b/>
        <sz val="22"/>
        <color theme="1"/>
        <rFont val="Calibri"/>
        <family val="2"/>
        <scheme val="minor"/>
      </rPr>
      <t>1520</t>
    </r>
    <r>
      <rPr>
        <sz val="22"/>
        <color theme="1"/>
        <rFont val="Calibri"/>
        <family val="2"/>
        <scheme val="minor"/>
      </rPr>
      <t xml:space="preserve"> son comunes (de 211 metadatos)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</si>
</sst>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name val="Calibri"/>
      <family val="2"/>
      <scheme val="minor"/>
    </font>
    <font>
      <i/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6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DashDotDot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DashDotDot">
        <color indexed="64"/>
      </right>
      <top style="thick">
        <color indexed="64"/>
      </top>
      <bottom/>
      <diagonal/>
    </border>
    <border>
      <left style="thick">
        <color indexed="64"/>
      </left>
      <right style="mediumDashDotDot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DashDotDot">
        <color indexed="64"/>
      </right>
      <top/>
      <bottom style="thin">
        <color indexed="64"/>
      </bottom>
      <diagonal/>
    </border>
    <border>
      <left style="thick">
        <color indexed="64"/>
      </left>
      <right style="mediumDashDotDot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DashDotDot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DashDotDot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DashDotDot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0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0" fillId="6" borderId="0" xfId="0" applyFill="1"/>
    <xf numFmtId="0" fontId="3" fillId="0" borderId="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0" fillId="0" borderId="39" xfId="0" applyBorder="1"/>
    <xf numFmtId="0" fontId="9" fillId="0" borderId="9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1" fillId="0" borderId="11" xfId="1" applyBorder="1" applyAlignment="1">
      <alignment horizontal="center" vertical="center" wrapText="1"/>
    </xf>
    <xf numFmtId="0" fontId="1" fillId="0" borderId="15" xfId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0" fillId="0" borderId="16" xfId="0" applyBorder="1"/>
    <xf numFmtId="0" fontId="9" fillId="0" borderId="2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16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12" fillId="0" borderId="58" xfId="1" applyFont="1" applyBorder="1" applyAlignment="1">
      <alignment horizontal="center" vertical="center" wrapText="1"/>
    </xf>
    <xf numFmtId="0" fontId="12" fillId="0" borderId="27" xfId="1" applyFont="1" applyBorder="1" applyAlignment="1">
      <alignment horizontal="center" vertical="center" wrapText="1"/>
    </xf>
    <xf numFmtId="0" fontId="9" fillId="5" borderId="4" xfId="1" applyFont="1" applyFill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9" fillId="8" borderId="23" xfId="0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9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0" fontId="2" fillId="7" borderId="38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/>
    </xf>
    <xf numFmtId="0" fontId="14" fillId="7" borderId="13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4" fillId="7" borderId="52" xfId="0" applyFont="1" applyFill="1" applyBorder="1" applyAlignment="1">
      <alignment horizontal="center" vertical="center"/>
    </xf>
    <xf numFmtId="0" fontId="13" fillId="7" borderId="39" xfId="0" applyFont="1" applyFill="1" applyBorder="1"/>
    <xf numFmtId="0" fontId="15" fillId="7" borderId="60" xfId="1" applyFont="1" applyFill="1" applyBorder="1" applyAlignment="1">
      <alignment horizontal="center" vertical="center" wrapText="1"/>
    </xf>
    <xf numFmtId="0" fontId="13" fillId="7" borderId="22" xfId="0" applyFont="1" applyFill="1" applyBorder="1" applyAlignment="1">
      <alignment horizontal="center" vertical="center" wrapText="1"/>
    </xf>
    <xf numFmtId="0" fontId="9" fillId="5" borderId="9" xfId="1" applyFont="1" applyFill="1" applyBorder="1" applyAlignment="1">
      <alignment horizontal="center" vertical="center" wrapText="1"/>
    </xf>
    <xf numFmtId="0" fontId="12" fillId="5" borderId="7" xfId="1" applyFont="1" applyFill="1" applyBorder="1" applyAlignment="1">
      <alignment horizontal="center" vertical="center" wrapText="1"/>
    </xf>
    <xf numFmtId="0" fontId="9" fillId="5" borderId="14" xfId="1" applyFont="1" applyFill="1" applyBorder="1" applyAlignment="1">
      <alignment horizontal="center" vertical="center" wrapText="1"/>
    </xf>
    <xf numFmtId="0" fontId="12" fillId="5" borderId="16" xfId="1" applyFont="1" applyFill="1" applyBorder="1" applyAlignment="1">
      <alignment horizontal="center" vertical="center" wrapText="1"/>
    </xf>
    <xf numFmtId="0" fontId="9" fillId="5" borderId="19" xfId="1" applyFont="1" applyFill="1" applyBorder="1" applyAlignment="1">
      <alignment horizontal="center" vertical="center" wrapText="1"/>
    </xf>
    <xf numFmtId="0" fontId="12" fillId="5" borderId="13" xfId="1" applyFont="1" applyFill="1" applyBorder="1" applyAlignment="1">
      <alignment horizontal="center" vertical="center" wrapText="1"/>
    </xf>
    <xf numFmtId="0" fontId="12" fillId="5" borderId="23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horizontal="center" vertical="center" wrapText="1"/>
    </xf>
    <xf numFmtId="0" fontId="9" fillId="5" borderId="21" xfId="0" applyFont="1" applyFill="1" applyBorder="1" applyAlignment="1">
      <alignment horizontal="center" vertical="center" wrapText="1"/>
    </xf>
    <xf numFmtId="0" fontId="0" fillId="7" borderId="0" xfId="0" applyFill="1"/>
    <xf numFmtId="0" fontId="2" fillId="0" borderId="4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3" fillId="5" borderId="52" xfId="0" applyFont="1" applyFill="1" applyBorder="1" applyAlignment="1">
      <alignment horizontal="center" vertical="center" wrapText="1"/>
    </xf>
    <xf numFmtId="0" fontId="2" fillId="7" borderId="47" xfId="0" applyFont="1" applyFill="1" applyBorder="1" applyAlignment="1">
      <alignment horizontal="center" vertical="center" wrapText="1"/>
    </xf>
    <xf numFmtId="0" fontId="12" fillId="0" borderId="38" xfId="1" applyFont="1" applyBorder="1" applyAlignment="1">
      <alignment horizontal="center" vertical="center" wrapText="1"/>
    </xf>
    <xf numFmtId="0" fontId="13" fillId="7" borderId="60" xfId="0" applyFont="1" applyFill="1" applyBorder="1" applyAlignment="1">
      <alignment horizontal="center" vertical="center"/>
    </xf>
    <xf numFmtId="0" fontId="11" fillId="0" borderId="0" xfId="0" applyFont="1"/>
    <xf numFmtId="0" fontId="3" fillId="5" borderId="22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2" fillId="7" borderId="42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/>
    </xf>
    <xf numFmtId="0" fontId="2" fillId="7" borderId="54" xfId="0" applyFont="1" applyFill="1" applyBorder="1" applyAlignment="1">
      <alignment horizontal="center" vertical="center"/>
    </xf>
    <xf numFmtId="0" fontId="2" fillId="7" borderId="44" xfId="0" applyFont="1" applyFill="1" applyBorder="1" applyAlignment="1">
      <alignment horizontal="center" vertical="center"/>
    </xf>
    <xf numFmtId="0" fontId="2" fillId="7" borderId="60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 wrapText="1"/>
    </xf>
    <xf numFmtId="0" fontId="2" fillId="5" borderId="28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49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2" fillId="5" borderId="36" xfId="0" applyFont="1" applyFill="1" applyBorder="1" applyAlignment="1">
      <alignment horizontal="center" vertical="center" wrapText="1"/>
    </xf>
    <xf numFmtId="0" fontId="3" fillId="5" borderId="28" xfId="0" applyFont="1" applyFill="1" applyBorder="1" applyAlignment="1">
      <alignment horizontal="center" vertical="center" wrapText="1"/>
    </xf>
    <xf numFmtId="0" fontId="14" fillId="7" borderId="41" xfId="0" applyFont="1" applyFill="1" applyBorder="1" applyAlignment="1">
      <alignment horizontal="center" vertical="center"/>
    </xf>
    <xf numFmtId="0" fontId="14" fillId="7" borderId="35" xfId="0" applyFont="1" applyFill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14" fillId="7" borderId="44" xfId="0" applyFont="1" applyFill="1" applyBorder="1" applyAlignment="1">
      <alignment horizontal="center" vertical="center"/>
    </xf>
    <xf numFmtId="0" fontId="14" fillId="7" borderId="46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2" fillId="5" borderId="29" xfId="0" applyFont="1" applyFill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49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0" fillId="0" borderId="24" xfId="0" applyBorder="1"/>
    <xf numFmtId="0" fontId="16" fillId="0" borderId="0" xfId="0" applyFont="1"/>
    <xf numFmtId="0" fontId="18" fillId="7" borderId="60" xfId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7" borderId="64" xfId="0" applyFont="1" applyFill="1" applyBorder="1" applyAlignment="1">
      <alignment horizontal="center" vertical="center" wrapText="1"/>
    </xf>
    <xf numFmtId="0" fontId="0" fillId="7" borderId="64" xfId="0" applyFill="1" applyBorder="1"/>
    <xf numFmtId="0" fontId="16" fillId="0" borderId="24" xfId="0" applyFont="1" applyBorder="1" applyAlignment="1">
      <alignment horizontal="center" vertical="center" wrapText="1"/>
    </xf>
    <xf numFmtId="0" fontId="9" fillId="5" borderId="5" xfId="1" applyFont="1" applyFill="1" applyBorder="1" applyAlignment="1">
      <alignment horizontal="center" vertical="center" wrapText="1"/>
    </xf>
    <xf numFmtId="0" fontId="12" fillId="5" borderId="8" xfId="1" applyFont="1" applyFill="1" applyBorder="1" applyAlignment="1">
      <alignment horizontal="center" vertical="center" wrapText="1"/>
    </xf>
    <xf numFmtId="0" fontId="9" fillId="5" borderId="6" xfId="1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 wrapText="1"/>
    </xf>
    <xf numFmtId="0" fontId="9" fillId="5" borderId="11" xfId="1" applyFont="1" applyFill="1" applyBorder="1" applyAlignment="1">
      <alignment horizontal="center" vertical="center" wrapText="1"/>
    </xf>
    <xf numFmtId="0" fontId="9" fillId="5" borderId="13" xfId="1" applyFont="1" applyFill="1" applyBorder="1" applyAlignment="1">
      <alignment horizontal="center" vertical="center" wrapText="1"/>
    </xf>
    <xf numFmtId="0" fontId="12" fillId="5" borderId="11" xfId="1" applyFont="1" applyFill="1" applyBorder="1" applyAlignment="1">
      <alignment horizontal="center" vertical="center" wrapText="1"/>
    </xf>
    <xf numFmtId="0" fontId="12" fillId="5" borderId="6" xfId="1" applyFont="1" applyFill="1" applyBorder="1" applyAlignment="1">
      <alignment horizontal="center" vertical="center" wrapText="1"/>
    </xf>
    <xf numFmtId="0" fontId="9" fillId="0" borderId="23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9" fillId="0" borderId="22" xfId="1" applyFont="1" applyBorder="1" applyAlignment="1">
      <alignment horizontal="center" vertical="center" wrapText="1"/>
    </xf>
    <xf numFmtId="0" fontId="12" fillId="5" borderId="23" xfId="1" applyFont="1" applyFill="1" applyBorder="1" applyAlignment="1">
      <alignment horizontal="center" vertical="center" wrapText="1"/>
    </xf>
    <xf numFmtId="0" fontId="9" fillId="5" borderId="21" xfId="1" applyFont="1" applyFill="1" applyBorder="1" applyAlignment="1">
      <alignment horizontal="center" vertical="center" wrapText="1"/>
    </xf>
    <xf numFmtId="0" fontId="9" fillId="0" borderId="52" xfId="1" applyFont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9" fillId="5" borderId="23" xfId="1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9" fillId="0" borderId="58" xfId="1" applyFont="1" applyBorder="1" applyAlignment="1">
      <alignment horizontal="center" vertical="center" wrapText="1"/>
    </xf>
    <xf numFmtId="0" fontId="9" fillId="0" borderId="71" xfId="1" applyFont="1" applyBorder="1" applyAlignment="1">
      <alignment horizontal="center" vertical="center" wrapText="1"/>
    </xf>
    <xf numFmtId="0" fontId="9" fillId="0" borderId="38" xfId="1" applyFont="1" applyBorder="1" applyAlignment="1">
      <alignment horizontal="center" vertical="center" wrapText="1"/>
    </xf>
    <xf numFmtId="0" fontId="9" fillId="0" borderId="27" xfId="1" applyFont="1" applyBorder="1" applyAlignment="1">
      <alignment horizontal="center" vertical="center" wrapText="1"/>
    </xf>
    <xf numFmtId="0" fontId="9" fillId="0" borderId="71" xfId="1" applyFont="1" applyFill="1" applyBorder="1" applyAlignment="1">
      <alignment horizontal="center" vertical="center" wrapText="1"/>
    </xf>
    <xf numFmtId="0" fontId="10" fillId="3" borderId="71" xfId="0" applyFont="1" applyFill="1" applyBorder="1" applyAlignment="1">
      <alignment horizontal="center"/>
    </xf>
    <xf numFmtId="0" fontId="10" fillId="3" borderId="47" xfId="0" applyFont="1" applyFill="1" applyBorder="1" applyAlignment="1">
      <alignment horizontal="center"/>
    </xf>
    <xf numFmtId="0" fontId="10" fillId="3" borderId="58" xfId="0" applyFont="1" applyFill="1" applyBorder="1" applyAlignment="1">
      <alignment horizontal="center"/>
    </xf>
    <xf numFmtId="0" fontId="3" fillId="0" borderId="70" xfId="0" applyFont="1" applyBorder="1" applyAlignment="1">
      <alignment vertical="center" wrapText="1"/>
    </xf>
    <xf numFmtId="0" fontId="11" fillId="0" borderId="24" xfId="0" applyFont="1" applyBorder="1"/>
    <xf numFmtId="0" fontId="9" fillId="0" borderId="39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10" fillId="3" borderId="38" xfId="0" applyFont="1" applyFill="1" applyBorder="1" applyAlignment="1">
      <alignment horizontal="center"/>
    </xf>
    <xf numFmtId="0" fontId="12" fillId="5" borderId="2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  <xf numFmtId="0" fontId="2" fillId="0" borderId="81" xfId="0" applyFont="1" applyBorder="1" applyAlignment="1">
      <alignment horizontal="center" vertical="center" wrapText="1"/>
    </xf>
    <xf numFmtId="0" fontId="2" fillId="0" borderId="78" xfId="0" applyFont="1" applyBorder="1" applyAlignment="1">
      <alignment horizontal="center" vertical="center" wrapText="1"/>
    </xf>
    <xf numFmtId="0" fontId="2" fillId="0" borderId="79" xfId="0" applyFont="1" applyBorder="1" applyAlignment="1">
      <alignment horizontal="center" vertical="center" wrapText="1"/>
    </xf>
    <xf numFmtId="0" fontId="2" fillId="0" borderId="77" xfId="0" applyFont="1" applyBorder="1" applyAlignment="1">
      <alignment horizontal="center" vertical="center" wrapText="1"/>
    </xf>
    <xf numFmtId="0" fontId="2" fillId="0" borderId="82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2" fillId="0" borderId="0" xfId="0" applyFont="1"/>
    <xf numFmtId="0" fontId="2" fillId="0" borderId="50" xfId="0" applyFont="1" applyBorder="1" applyAlignment="1">
      <alignment horizontal="center" vertical="center" wrapText="1"/>
    </xf>
    <xf numFmtId="0" fontId="2" fillId="0" borderId="24" xfId="0" applyFont="1" applyBorder="1"/>
    <xf numFmtId="0" fontId="9" fillId="0" borderId="4" xfId="1" applyFont="1" applyBorder="1" applyAlignment="1">
      <alignment horizontal="center" vertical="center" wrapText="1"/>
    </xf>
    <xf numFmtId="0" fontId="12" fillId="7" borderId="21" xfId="1" applyFont="1" applyFill="1" applyBorder="1" applyAlignment="1">
      <alignment horizontal="center" vertical="center" wrapText="1"/>
    </xf>
    <xf numFmtId="0" fontId="12" fillId="7" borderId="22" xfId="1" applyFont="1" applyFill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 wrapText="1"/>
    </xf>
    <xf numFmtId="0" fontId="9" fillId="5" borderId="58" xfId="1" applyFont="1" applyFill="1" applyBorder="1" applyAlignment="1">
      <alignment horizontal="center" vertical="center" wrapText="1"/>
    </xf>
    <xf numFmtId="0" fontId="9" fillId="0" borderId="72" xfId="1" applyFont="1" applyBorder="1" applyAlignment="1">
      <alignment horizontal="center" vertical="center" wrapText="1"/>
    </xf>
    <xf numFmtId="0" fontId="2" fillId="0" borderId="35" xfId="0" applyFont="1" applyBorder="1" applyAlignment="1">
      <alignment vertical="center" wrapText="1"/>
    </xf>
    <xf numFmtId="0" fontId="2" fillId="7" borderId="35" xfId="0" applyFont="1" applyFill="1" applyBorder="1" applyAlignment="1">
      <alignment horizontal="center" vertical="center"/>
    </xf>
    <xf numFmtId="0" fontId="2" fillId="7" borderId="41" xfId="0" applyFont="1" applyFill="1" applyBorder="1" applyAlignment="1">
      <alignment horizontal="center" vertical="center"/>
    </xf>
    <xf numFmtId="0" fontId="2" fillId="0" borderId="58" xfId="0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3" fillId="5" borderId="71" xfId="0" applyFont="1" applyFill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10" fillId="3" borderId="52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35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  <xf numFmtId="0" fontId="22" fillId="0" borderId="24" xfId="0" applyFont="1" applyBorder="1"/>
    <xf numFmtId="0" fontId="22" fillId="0" borderId="0" xfId="0" applyFont="1"/>
    <xf numFmtId="0" fontId="9" fillId="5" borderId="7" xfId="1" applyFont="1" applyFill="1" applyBorder="1" applyAlignment="1">
      <alignment horizontal="center" vertical="center" wrapText="1"/>
    </xf>
    <xf numFmtId="0" fontId="12" fillId="5" borderId="52" xfId="0" applyFont="1" applyFill="1" applyBorder="1" applyAlignment="1">
      <alignment horizontal="center" vertical="center" wrapText="1"/>
    </xf>
    <xf numFmtId="0" fontId="14" fillId="7" borderId="54" xfId="0" applyFont="1" applyFill="1" applyBorder="1" applyAlignment="1">
      <alignment horizontal="center" vertical="center"/>
    </xf>
    <xf numFmtId="0" fontId="12" fillId="5" borderId="10" xfId="1" applyFont="1" applyFill="1" applyBorder="1" applyAlignment="1">
      <alignment horizontal="center" vertical="center" wrapText="1"/>
    </xf>
    <xf numFmtId="0" fontId="9" fillId="5" borderId="10" xfId="1" applyFont="1" applyFill="1" applyBorder="1" applyAlignment="1">
      <alignment horizontal="center" vertical="center" wrapText="1"/>
    </xf>
    <xf numFmtId="0" fontId="14" fillId="7" borderId="42" xfId="0" applyFont="1" applyFill="1" applyBorder="1" applyAlignment="1">
      <alignment horizontal="center" vertical="center"/>
    </xf>
    <xf numFmtId="0" fontId="2" fillId="7" borderId="51" xfId="0" applyFont="1" applyFill="1" applyBorder="1" applyAlignment="1">
      <alignment horizontal="center" vertical="center"/>
    </xf>
    <xf numFmtId="0" fontId="9" fillId="0" borderId="51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51" xfId="1" applyFont="1" applyBorder="1" applyAlignment="1">
      <alignment horizontal="center" vertical="center" wrapText="1"/>
    </xf>
    <xf numFmtId="0" fontId="9" fillId="0" borderId="28" xfId="1" applyFont="1" applyBorder="1" applyAlignment="1">
      <alignment horizontal="center" vertical="center" wrapText="1"/>
    </xf>
    <xf numFmtId="0" fontId="9" fillId="0" borderId="36" xfId="1" applyFont="1" applyBorder="1" applyAlignment="1">
      <alignment horizontal="center" vertical="center" wrapText="1"/>
    </xf>
    <xf numFmtId="0" fontId="9" fillId="0" borderId="29" xfId="1" applyFont="1" applyBorder="1" applyAlignment="1">
      <alignment horizontal="center" vertical="center" wrapText="1"/>
    </xf>
    <xf numFmtId="0" fontId="9" fillId="0" borderId="45" xfId="1" applyFont="1" applyBorder="1" applyAlignment="1">
      <alignment horizontal="center" vertical="center" wrapText="1"/>
    </xf>
    <xf numFmtId="0" fontId="9" fillId="5" borderId="8" xfId="1" applyFont="1" applyFill="1" applyBorder="1" applyAlignment="1">
      <alignment horizontal="center" vertical="center" wrapText="1"/>
    </xf>
    <xf numFmtId="0" fontId="9" fillId="5" borderId="22" xfId="1" applyFont="1" applyFill="1" applyBorder="1" applyAlignment="1">
      <alignment horizontal="center" vertical="center" wrapText="1"/>
    </xf>
    <xf numFmtId="0" fontId="9" fillId="5" borderId="52" xfId="1" applyFont="1" applyFill="1" applyBorder="1" applyAlignment="1">
      <alignment horizontal="center" vertical="center" wrapText="1"/>
    </xf>
    <xf numFmtId="0" fontId="12" fillId="5" borderId="38" xfId="1" applyFont="1" applyFill="1" applyBorder="1" applyAlignment="1">
      <alignment horizontal="center" vertical="center" wrapText="1"/>
    </xf>
    <xf numFmtId="0" fontId="9" fillId="5" borderId="25" xfId="0" applyFont="1" applyFill="1" applyBorder="1" applyAlignment="1">
      <alignment horizontal="center" vertical="center" wrapText="1"/>
    </xf>
    <xf numFmtId="0" fontId="9" fillId="5" borderId="56" xfId="0" applyFont="1" applyFill="1" applyBorder="1" applyAlignment="1">
      <alignment horizontal="center" vertical="center" wrapText="1"/>
    </xf>
    <xf numFmtId="0" fontId="9" fillId="5" borderId="37" xfId="0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center" vertical="center" wrapText="1"/>
    </xf>
    <xf numFmtId="0" fontId="12" fillId="5" borderId="56" xfId="0" applyFont="1" applyFill="1" applyBorder="1" applyAlignment="1">
      <alignment horizontal="center" vertical="center" wrapText="1"/>
    </xf>
    <xf numFmtId="0" fontId="12" fillId="5" borderId="37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12" fillId="5" borderId="15" xfId="0" applyFont="1" applyFill="1" applyBorder="1" applyAlignment="1">
      <alignment horizontal="center" vertical="center" wrapText="1"/>
    </xf>
    <xf numFmtId="0" fontId="12" fillId="5" borderId="22" xfId="0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2" fillId="7" borderId="80" xfId="0" applyFont="1" applyFill="1" applyBorder="1" applyAlignment="1">
      <alignment horizontal="center" vertical="center"/>
    </xf>
    <xf numFmtId="0" fontId="12" fillId="5" borderId="29" xfId="1" applyFont="1" applyFill="1" applyBorder="1" applyAlignment="1">
      <alignment horizontal="center" vertical="center" wrapText="1"/>
    </xf>
    <xf numFmtId="0" fontId="9" fillId="5" borderId="28" xfId="1" applyFont="1" applyFill="1" applyBorder="1" applyAlignment="1">
      <alignment horizontal="center" vertical="center" wrapText="1"/>
    </xf>
    <xf numFmtId="0" fontId="12" fillId="5" borderId="5" xfId="1" applyFont="1" applyFill="1" applyBorder="1" applyAlignment="1">
      <alignment horizontal="center" vertical="center" wrapText="1"/>
    </xf>
    <xf numFmtId="0" fontId="9" fillId="5" borderId="20" xfId="1" applyFont="1" applyFill="1" applyBorder="1" applyAlignment="1">
      <alignment horizontal="center" vertical="center" wrapText="1"/>
    </xf>
    <xf numFmtId="0" fontId="9" fillId="0" borderId="59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14" fillId="7" borderId="3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 wrapText="1"/>
    </xf>
    <xf numFmtId="0" fontId="14" fillId="7" borderId="80" xfId="0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5" xfId="0" applyFont="1" applyBorder="1" applyAlignment="1">
      <alignment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80" xfId="0" applyFont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/>
    </xf>
    <xf numFmtId="0" fontId="14" fillId="7" borderId="29" xfId="0" applyFont="1" applyFill="1" applyBorder="1" applyAlignment="1">
      <alignment horizontal="center" vertical="center"/>
    </xf>
    <xf numFmtId="0" fontId="9" fillId="0" borderId="83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center" vertical="center" wrapText="1"/>
    </xf>
    <xf numFmtId="0" fontId="9" fillId="0" borderId="84" xfId="0" applyFont="1" applyBorder="1" applyAlignment="1">
      <alignment horizontal="center" vertical="center" wrapText="1"/>
    </xf>
    <xf numFmtId="0" fontId="9" fillId="0" borderId="63" xfId="0" applyFont="1" applyBorder="1" applyAlignment="1">
      <alignment horizontal="center" vertical="center" wrapText="1"/>
    </xf>
    <xf numFmtId="0" fontId="19" fillId="7" borderId="16" xfId="0" applyFont="1" applyFill="1" applyBorder="1" applyAlignment="1">
      <alignment horizontal="center" vertical="center" wrapText="1"/>
    </xf>
    <xf numFmtId="0" fontId="19" fillId="7" borderId="53" xfId="0" applyFont="1" applyFill="1" applyBorder="1" applyAlignment="1">
      <alignment horizontal="center" vertical="center" wrapText="1"/>
    </xf>
    <xf numFmtId="0" fontId="16" fillId="7" borderId="57" xfId="0" applyFont="1" applyFill="1" applyBorder="1" applyAlignment="1">
      <alignment horizontal="center" vertical="center"/>
    </xf>
    <xf numFmtId="0" fontId="16" fillId="7" borderId="35" xfId="0" applyFont="1" applyFill="1" applyBorder="1" applyAlignment="1">
      <alignment horizontal="center" vertical="center"/>
    </xf>
    <xf numFmtId="0" fontId="3" fillId="0" borderId="52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16" fillId="7" borderId="54" xfId="0" applyFont="1" applyFill="1" applyBorder="1" applyAlignment="1">
      <alignment horizontal="center" vertical="center"/>
    </xf>
    <xf numFmtId="0" fontId="16" fillId="7" borderId="64" xfId="0" applyFont="1" applyFill="1" applyBorder="1" applyAlignment="1">
      <alignment horizontal="center" vertical="center"/>
    </xf>
    <xf numFmtId="0" fontId="3" fillId="0" borderId="57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left"/>
    </xf>
    <xf numFmtId="0" fontId="10" fillId="4" borderId="19" xfId="0" applyFont="1" applyFill="1" applyBorder="1" applyAlignment="1">
      <alignment horizontal="left"/>
    </xf>
    <xf numFmtId="0" fontId="16" fillId="7" borderId="42" xfId="0" applyFont="1" applyFill="1" applyBorder="1" applyAlignment="1">
      <alignment horizontal="center" vertical="center"/>
    </xf>
    <xf numFmtId="0" fontId="16" fillId="7" borderId="65" xfId="0" applyFont="1" applyFill="1" applyBorder="1" applyAlignment="1">
      <alignment horizontal="center" vertical="center"/>
    </xf>
    <xf numFmtId="0" fontId="3" fillId="0" borderId="67" xfId="0" applyFont="1" applyBorder="1" applyAlignment="1">
      <alignment horizontal="center" vertical="center" wrapText="1"/>
    </xf>
    <xf numFmtId="0" fontId="16" fillId="7" borderId="55" xfId="0" applyFont="1" applyFill="1" applyBorder="1" applyAlignment="1">
      <alignment horizontal="center" vertical="center"/>
    </xf>
    <xf numFmtId="0" fontId="16" fillId="7" borderId="47" xfId="0" applyFont="1" applyFill="1" applyBorder="1" applyAlignment="1">
      <alignment horizontal="center" vertical="center"/>
    </xf>
    <xf numFmtId="0" fontId="16" fillId="5" borderId="72" xfId="0" applyFont="1" applyFill="1" applyBorder="1" applyAlignment="1">
      <alignment horizontal="center" vertical="center" wrapText="1"/>
    </xf>
    <xf numFmtId="0" fontId="16" fillId="5" borderId="70" xfId="0" applyFont="1" applyFill="1" applyBorder="1" applyAlignment="1">
      <alignment horizontal="center" vertical="center" wrapText="1"/>
    </xf>
    <xf numFmtId="0" fontId="16" fillId="5" borderId="47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left"/>
    </xf>
    <xf numFmtId="0" fontId="10" fillId="4" borderId="63" xfId="0" applyFont="1" applyFill="1" applyBorder="1" applyAlignment="1">
      <alignment horizontal="left"/>
    </xf>
    <xf numFmtId="0" fontId="10" fillId="2" borderId="12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2" fillId="3" borderId="74" xfId="0" applyFont="1" applyFill="1" applyBorder="1" applyAlignment="1">
      <alignment horizontal="center" vertical="center" wrapText="1"/>
    </xf>
    <xf numFmtId="0" fontId="2" fillId="3" borderId="34" xfId="0" applyFont="1" applyFill="1" applyBorder="1" applyAlignment="1">
      <alignment horizontal="center" vertical="center" wrapText="1"/>
    </xf>
    <xf numFmtId="0" fontId="2" fillId="3" borderId="62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vertical="center" wrapText="1"/>
    </xf>
    <xf numFmtId="0" fontId="2" fillId="3" borderId="73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3" fillId="0" borderId="73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21" fillId="7" borderId="55" xfId="0" applyFont="1" applyFill="1" applyBorder="1" applyAlignment="1">
      <alignment horizontal="center" vertical="center" wrapText="1"/>
    </xf>
    <xf numFmtId="0" fontId="21" fillId="7" borderId="47" xfId="0" applyFont="1" applyFill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 wrapText="1"/>
    </xf>
    <xf numFmtId="0" fontId="3" fillId="0" borderId="76" xfId="0" applyFont="1" applyBorder="1" applyAlignment="1">
      <alignment horizontal="center" vertical="center" wrapText="1"/>
    </xf>
    <xf numFmtId="0" fontId="3" fillId="3" borderId="61" xfId="0" applyFont="1" applyFill="1" applyBorder="1" applyAlignment="1">
      <alignment horizontal="center"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3" fillId="5" borderId="72" xfId="0" applyFont="1" applyFill="1" applyBorder="1" applyAlignment="1">
      <alignment horizontal="center" vertical="center" wrapText="1"/>
    </xf>
    <xf numFmtId="0" fontId="13" fillId="5" borderId="70" xfId="0" applyFont="1" applyFill="1" applyBorder="1" applyAlignment="1">
      <alignment horizontal="center" vertical="center" wrapText="1"/>
    </xf>
    <xf numFmtId="0" fontId="13" fillId="5" borderId="47" xfId="0" applyFont="1" applyFill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vertical="center" wrapText="1"/>
    </xf>
    <xf numFmtId="0" fontId="16" fillId="7" borderId="63" xfId="0" applyFont="1" applyFill="1" applyBorder="1" applyAlignment="1">
      <alignment horizontal="center" vertical="center" wrapText="1"/>
    </xf>
    <xf numFmtId="0" fontId="16" fillId="7" borderId="62" xfId="0" applyFont="1" applyFill="1" applyBorder="1" applyAlignment="1">
      <alignment horizontal="center" vertical="center"/>
    </xf>
    <xf numFmtId="0" fontId="16" fillId="7" borderId="33" xfId="0" applyFont="1" applyFill="1" applyBorder="1" applyAlignment="1">
      <alignment horizontal="center" vertical="center"/>
    </xf>
    <xf numFmtId="0" fontId="16" fillId="7" borderId="73" xfId="0" applyFont="1" applyFill="1" applyBorder="1" applyAlignment="1">
      <alignment horizontal="center" vertical="center"/>
    </xf>
    <xf numFmtId="0" fontId="16" fillId="7" borderId="41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 wrapText="1"/>
    </xf>
    <xf numFmtId="0" fontId="13" fillId="7" borderId="63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13" fillId="7" borderId="55" xfId="0" applyFont="1" applyFill="1" applyBorder="1" applyAlignment="1">
      <alignment horizontal="center" vertical="center"/>
    </xf>
    <xf numFmtId="0" fontId="13" fillId="7" borderId="47" xfId="0" applyFont="1" applyFill="1" applyBorder="1" applyAlignment="1">
      <alignment horizontal="center" vertical="center"/>
    </xf>
    <xf numFmtId="0" fontId="3" fillId="7" borderId="57" xfId="0" applyFont="1" applyFill="1" applyBorder="1" applyAlignment="1">
      <alignment horizontal="center" vertical="center"/>
    </xf>
    <xf numFmtId="0" fontId="3" fillId="7" borderId="35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 wrapText="1"/>
    </xf>
    <xf numFmtId="0" fontId="16" fillId="7" borderId="19" xfId="0" applyFont="1" applyFill="1" applyBorder="1" applyAlignment="1">
      <alignment horizontal="center" vertical="center" wrapText="1"/>
    </xf>
    <xf numFmtId="0" fontId="13" fillId="7" borderId="57" xfId="0" applyFont="1" applyFill="1" applyBorder="1" applyAlignment="1">
      <alignment horizontal="center" vertical="center" wrapText="1"/>
    </xf>
    <xf numFmtId="0" fontId="13" fillId="7" borderId="35" xfId="0" applyFont="1" applyFill="1" applyBorder="1" applyAlignment="1">
      <alignment horizontal="center" vertical="center" wrapText="1"/>
    </xf>
    <xf numFmtId="0" fontId="12" fillId="0" borderId="67" xfId="0" applyFont="1" applyBorder="1" applyAlignment="1">
      <alignment horizontal="center" vertical="center" wrapText="1"/>
    </xf>
    <xf numFmtId="0" fontId="13" fillId="7" borderId="57" xfId="0" applyFont="1" applyFill="1" applyBorder="1" applyAlignment="1">
      <alignment horizontal="center" vertical="center"/>
    </xf>
    <xf numFmtId="0" fontId="13" fillId="7" borderId="35" xfId="0" applyFont="1" applyFill="1" applyBorder="1" applyAlignment="1">
      <alignment horizontal="center" vertical="center"/>
    </xf>
    <xf numFmtId="0" fontId="16" fillId="7" borderId="61" xfId="0" applyFont="1" applyFill="1" applyBorder="1" applyAlignment="1">
      <alignment horizontal="center" vertical="center"/>
    </xf>
    <xf numFmtId="0" fontId="16" fillId="7" borderId="40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4" borderId="35" xfId="0" applyFont="1" applyFill="1" applyBorder="1" applyAlignment="1">
      <alignment horizontal="left" vertical="center"/>
    </xf>
    <xf numFmtId="0" fontId="10" fillId="4" borderId="39" xfId="0" applyFont="1" applyFill="1" applyBorder="1" applyAlignment="1">
      <alignment horizontal="left" vertical="center"/>
    </xf>
    <xf numFmtId="0" fontId="3" fillId="3" borderId="18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17" fillId="4" borderId="35" xfId="0" applyFont="1" applyFill="1" applyBorder="1" applyAlignment="1">
      <alignment horizontal="left" vertical="center"/>
    </xf>
    <xf numFmtId="0" fontId="17" fillId="4" borderId="39" xfId="0" applyFont="1" applyFill="1" applyBorder="1" applyAlignment="1">
      <alignment horizontal="left" vertical="center"/>
    </xf>
    <xf numFmtId="0" fontId="12" fillId="0" borderId="65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10" fillId="4" borderId="35" xfId="0" applyFont="1" applyFill="1" applyBorder="1" applyAlignment="1">
      <alignment vertical="center"/>
    </xf>
    <xf numFmtId="0" fontId="10" fillId="4" borderId="39" xfId="0" applyFont="1" applyFill="1" applyBorder="1" applyAlignment="1">
      <alignment vertical="center"/>
    </xf>
    <xf numFmtId="0" fontId="13" fillId="7" borderId="54" xfId="0" applyFont="1" applyFill="1" applyBorder="1" applyAlignment="1">
      <alignment horizontal="center" vertical="center"/>
    </xf>
    <xf numFmtId="0" fontId="13" fillId="7" borderId="65" xfId="0" applyFont="1" applyFill="1" applyBorder="1" applyAlignment="1">
      <alignment horizontal="center" vertical="center"/>
    </xf>
    <xf numFmtId="0" fontId="13" fillId="7" borderId="64" xfId="0" applyFont="1" applyFill="1" applyBorder="1" applyAlignment="1">
      <alignment horizontal="center" vertical="center"/>
    </xf>
    <xf numFmtId="0" fontId="13" fillId="7" borderId="68" xfId="0" applyFont="1" applyFill="1" applyBorder="1" applyAlignment="1">
      <alignment horizontal="center" vertical="center"/>
    </xf>
    <xf numFmtId="0" fontId="13" fillId="7" borderId="69" xfId="0" applyFont="1" applyFill="1" applyBorder="1" applyAlignment="1">
      <alignment horizontal="center" vertical="center"/>
    </xf>
    <xf numFmtId="0" fontId="13" fillId="7" borderId="66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10" fillId="4" borderId="41" xfId="0" applyFont="1" applyFill="1" applyBorder="1" applyAlignment="1">
      <alignment horizontal="center" vertical="center"/>
    </xf>
    <xf numFmtId="0" fontId="10" fillId="4" borderId="39" xfId="0" applyFont="1" applyFill="1" applyBorder="1" applyAlignment="1">
      <alignment horizontal="center" vertical="center"/>
    </xf>
    <xf numFmtId="0" fontId="8" fillId="0" borderId="57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8" fillId="0" borderId="69" xfId="0" applyFont="1" applyBorder="1" applyAlignment="1">
      <alignment horizontal="center" vertical="center" wrapText="1"/>
    </xf>
    <xf numFmtId="0" fontId="3" fillId="7" borderId="55" xfId="0" applyFont="1" applyFill="1" applyBorder="1" applyAlignment="1">
      <alignment horizontal="center" vertical="center"/>
    </xf>
    <xf numFmtId="0" fontId="3" fillId="7" borderId="47" xfId="0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0" fillId="4" borderId="54" xfId="0" applyFont="1" applyFill="1" applyBorder="1" applyAlignment="1">
      <alignment horizontal="left" vertical="center" wrapText="1"/>
    </xf>
    <xf numFmtId="0" fontId="10" fillId="4" borderId="64" xfId="0" applyFont="1" applyFill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0" fillId="4" borderId="65" xfId="0" applyFont="1" applyFill="1" applyBorder="1" applyAlignment="1">
      <alignment horizontal="left" vertical="center" wrapText="1"/>
    </xf>
    <xf numFmtId="0" fontId="16" fillId="7" borderId="54" xfId="0" applyFont="1" applyFill="1" applyBorder="1" applyAlignment="1">
      <alignment horizontal="center" vertical="center" wrapText="1"/>
    </xf>
    <xf numFmtId="0" fontId="16" fillId="7" borderId="64" xfId="0" applyFont="1" applyFill="1" applyBorder="1" applyAlignment="1">
      <alignment horizontal="center" vertical="center" wrapText="1"/>
    </xf>
    <xf numFmtId="0" fontId="16" fillId="7" borderId="6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7" borderId="24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16" fillId="0" borderId="70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16" fillId="7" borderId="52" xfId="0" applyFont="1" applyFill="1" applyBorder="1" applyAlignment="1">
      <alignment horizontal="center" vertical="center"/>
    </xf>
    <xf numFmtId="0" fontId="16" fillId="7" borderId="59" xfId="0" applyFont="1" applyFill="1" applyBorder="1" applyAlignment="1">
      <alignment horizontal="center" vertical="center"/>
    </xf>
    <xf numFmtId="0" fontId="16" fillId="7" borderId="23" xfId="0" applyFont="1" applyFill="1" applyBorder="1" applyAlignment="1">
      <alignment horizontal="center" vertical="center"/>
    </xf>
    <xf numFmtId="0" fontId="16" fillId="7" borderId="67" xfId="0" applyFont="1" applyFill="1" applyBorder="1" applyAlignment="1">
      <alignment horizontal="center" vertical="center"/>
    </xf>
    <xf numFmtId="0" fontId="16" fillId="7" borderId="3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9" fillId="7" borderId="59" xfId="0" applyFont="1" applyFill="1" applyBorder="1" applyAlignment="1">
      <alignment horizontal="center" vertical="center" wrapText="1"/>
    </xf>
    <xf numFmtId="0" fontId="19" fillId="7" borderId="67" xfId="0" applyFont="1" applyFill="1" applyBorder="1" applyAlignment="1">
      <alignment horizontal="center" vertical="center" wrapText="1"/>
    </xf>
    <xf numFmtId="0" fontId="21" fillId="7" borderId="76" xfId="0" applyFont="1" applyFill="1" applyBorder="1" applyAlignment="1">
      <alignment horizontal="center" vertical="center" wrapText="1"/>
    </xf>
    <xf numFmtId="0" fontId="21" fillId="7" borderId="83" xfId="0" applyFont="1" applyFill="1" applyBorder="1" applyAlignment="1">
      <alignment horizontal="center" vertical="center" wrapText="1"/>
    </xf>
    <xf numFmtId="0" fontId="19" fillId="7" borderId="52" xfId="0" applyFont="1" applyFill="1" applyBorder="1" applyAlignment="1">
      <alignment horizontal="center" vertical="center" wrapText="1"/>
    </xf>
    <xf numFmtId="0" fontId="19" fillId="7" borderId="23" xfId="0" applyFont="1" applyFill="1" applyBorder="1" applyAlignment="1">
      <alignment horizontal="center" vertical="center" wrapText="1"/>
    </xf>
    <xf numFmtId="0" fontId="19" fillId="7" borderId="22" xfId="0" applyFont="1" applyFill="1" applyBorder="1" applyAlignment="1">
      <alignment horizontal="center" vertical="center" wrapText="1"/>
    </xf>
    <xf numFmtId="0" fontId="19" fillId="7" borderId="19" xfId="0" applyFont="1" applyFill="1" applyBorder="1" applyAlignment="1">
      <alignment horizontal="center" vertical="center" wrapText="1"/>
    </xf>
    <xf numFmtId="0" fontId="19" fillId="7" borderId="63" xfId="0" applyFont="1" applyFill="1" applyBorder="1" applyAlignment="1">
      <alignment horizontal="center" vertical="center" wrapText="1"/>
    </xf>
    <xf numFmtId="0" fontId="19" fillId="7" borderId="35" xfId="0" applyFont="1" applyFill="1" applyBorder="1" applyAlignment="1">
      <alignment horizontal="center" vertical="center" wrapText="1"/>
    </xf>
    <xf numFmtId="0" fontId="19" fillId="7" borderId="39" xfId="0" applyFont="1" applyFill="1" applyBorder="1" applyAlignment="1">
      <alignment horizontal="center" vertical="center" wrapText="1"/>
    </xf>
    <xf numFmtId="0" fontId="19" fillId="7" borderId="83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4035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archive.org/details/landofdons00will/page/n19/mode/2up" TargetMode="External"/><Relationship Id="rId2" Type="http://schemas.openxmlformats.org/officeDocument/2006/relationships/hyperlink" Target="https://www.gutenberg.org/ebooks/7430" TargetMode="External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www.gutenberg.org/ebooks/40356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author/39917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4035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archive.org/details/landofdons00will/page/n19/mode/2up" TargetMode="External"/><Relationship Id="rId2" Type="http://schemas.openxmlformats.org/officeDocument/2006/relationships/hyperlink" Target="https://www.gutenberg.org/ebooks/7430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www.gutenberg.org/ebooks/40356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author/39917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4035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archive.org/details/landofdons00will/page/n19/mode/2up" TargetMode="External"/><Relationship Id="rId2" Type="http://schemas.openxmlformats.org/officeDocument/2006/relationships/hyperlink" Target="https://www.gutenberg.org/ebooks/7430" TargetMode="External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www.gutenberg.org/ebooks/40356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author/39917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4035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archive.org/details/landofdons00will/page/n19/mode/2up" TargetMode="External"/><Relationship Id="rId2" Type="http://schemas.openxmlformats.org/officeDocument/2006/relationships/hyperlink" Target="https://www.gutenberg.org/ebooks/7430" TargetMode="External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www.gutenberg.org/ebooks/40356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author/39917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N22"/>
  <sheetViews>
    <sheetView zoomScale="50" zoomScaleNormal="50" workbookViewId="0">
      <selection sqref="A1:E1"/>
    </sheetView>
  </sheetViews>
  <sheetFormatPr baseColWidth="10" defaultColWidth="8.88671875" defaultRowHeight="14.4" x14ac:dyDescent="0.3"/>
  <cols>
    <col min="1" max="1" width="79" customWidth="1"/>
    <col min="2" max="2" width="51.77734375" customWidth="1"/>
    <col min="3" max="3" width="26.88671875" customWidth="1"/>
    <col min="4" max="4" width="25.6640625" customWidth="1"/>
    <col min="5" max="5" width="29.21875" customWidth="1"/>
    <col min="6" max="6" width="33.21875" customWidth="1"/>
    <col min="7" max="8" width="15.88671875" customWidth="1"/>
    <col min="9" max="16" width="17.6640625" customWidth="1"/>
    <col min="17" max="17" width="14.77734375" customWidth="1"/>
    <col min="18" max="18" width="16.109375" customWidth="1"/>
    <col min="19" max="20" width="17.44140625" customWidth="1"/>
    <col min="21" max="25" width="13.44140625" customWidth="1"/>
    <col min="26" max="26" width="20.5546875" customWidth="1"/>
    <col min="27" max="27" width="15" customWidth="1"/>
    <col min="28" max="28" width="17.44140625" customWidth="1"/>
    <col min="29" max="29" width="13.44140625" customWidth="1"/>
    <col min="30" max="30" width="30.33203125" customWidth="1"/>
    <col min="31" max="31" width="15" customWidth="1"/>
    <col min="32" max="32" width="15.44140625" customWidth="1"/>
    <col min="33" max="35" width="14.6640625" customWidth="1"/>
    <col min="36" max="37" width="13.44140625" customWidth="1"/>
    <col min="38" max="38" width="15" customWidth="1"/>
    <col min="39" max="42" width="14.6640625" customWidth="1"/>
    <col min="43" max="46" width="12.109375" customWidth="1"/>
    <col min="47" max="48" width="11" customWidth="1"/>
    <col min="49" max="50" width="11.44140625" customWidth="1"/>
    <col min="51" max="51" width="10.88671875" customWidth="1"/>
    <col min="52" max="52" width="11.77734375" customWidth="1"/>
    <col min="53" max="53" width="11.44140625" customWidth="1"/>
    <col min="54" max="55" width="10.88671875" customWidth="1"/>
    <col min="56" max="56" width="14" customWidth="1"/>
    <col min="57" max="57" width="18.44140625" customWidth="1"/>
  </cols>
  <sheetData>
    <row r="1" spans="1:222" s="156" customFormat="1" ht="43.8" customHeight="1" thickBot="1" x14ac:dyDescent="0.55000000000000004">
      <c r="A1" s="456" t="s">
        <v>0</v>
      </c>
      <c r="B1" s="456"/>
      <c r="C1" s="456"/>
      <c r="D1" s="457"/>
      <c r="E1" s="457"/>
      <c r="F1" s="398" t="s">
        <v>294</v>
      </c>
      <c r="G1" s="464" t="s">
        <v>105</v>
      </c>
      <c r="H1" s="465"/>
      <c r="I1" s="465"/>
      <c r="J1" s="465"/>
      <c r="K1" s="465"/>
      <c r="L1" s="465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465"/>
      <c r="X1" s="465"/>
      <c r="Y1" s="465"/>
      <c r="Z1" s="465"/>
      <c r="AA1" s="465"/>
      <c r="AB1" s="465"/>
      <c r="AC1" s="465"/>
      <c r="AD1" s="424" t="s">
        <v>294</v>
      </c>
      <c r="AE1" s="458" t="s">
        <v>109</v>
      </c>
      <c r="AF1" s="459"/>
      <c r="AG1" s="459"/>
      <c r="AH1" s="459"/>
      <c r="AI1" s="459"/>
      <c r="AJ1" s="459"/>
      <c r="AK1" s="459"/>
      <c r="AL1" s="459"/>
      <c r="AM1" s="459"/>
      <c r="AN1" s="459"/>
      <c r="AO1" s="459"/>
      <c r="AP1" s="459"/>
      <c r="AQ1" s="459"/>
      <c r="AR1" s="459"/>
      <c r="AS1" s="459"/>
      <c r="AT1" s="459"/>
      <c r="AU1" s="459"/>
      <c r="AV1" s="459"/>
      <c r="AW1" s="459"/>
      <c r="AX1" s="459"/>
      <c r="AY1" s="459"/>
      <c r="AZ1" s="459"/>
      <c r="BA1" s="459"/>
      <c r="BB1" s="459"/>
      <c r="BC1" s="459"/>
      <c r="BD1" s="459"/>
      <c r="BE1" s="459"/>
      <c r="BF1" s="232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</row>
    <row r="2" spans="1:222" ht="38.4" customHeight="1" thickTop="1" thickBot="1" x14ac:dyDescent="0.35">
      <c r="A2" s="460" t="s">
        <v>1</v>
      </c>
      <c r="B2" s="462" t="s">
        <v>2</v>
      </c>
      <c r="C2" s="462" t="s">
        <v>3</v>
      </c>
      <c r="D2" s="446" t="s">
        <v>4</v>
      </c>
      <c r="E2" s="446" t="s">
        <v>418</v>
      </c>
      <c r="F2" s="399"/>
      <c r="G2" s="427" t="s">
        <v>372</v>
      </c>
      <c r="H2" s="428"/>
      <c r="I2" s="428"/>
      <c r="J2" s="428"/>
      <c r="K2" s="427" t="s">
        <v>373</v>
      </c>
      <c r="L2" s="451"/>
      <c r="M2" s="428" t="s">
        <v>374</v>
      </c>
      <c r="N2" s="428"/>
      <c r="O2" s="429" t="s">
        <v>375</v>
      </c>
      <c r="P2" s="427" t="s">
        <v>376</v>
      </c>
      <c r="Q2" s="428"/>
      <c r="R2" s="429" t="s">
        <v>377</v>
      </c>
      <c r="S2" s="427" t="s">
        <v>378</v>
      </c>
      <c r="T2" s="428"/>
      <c r="U2" s="427" t="s">
        <v>379</v>
      </c>
      <c r="V2" s="428"/>
      <c r="W2" s="427" t="s">
        <v>380</v>
      </c>
      <c r="X2" s="428"/>
      <c r="Y2" s="451"/>
      <c r="Z2" s="429" t="s">
        <v>381</v>
      </c>
      <c r="AA2" s="429" t="s">
        <v>382</v>
      </c>
      <c r="AB2" s="431" t="s">
        <v>383</v>
      </c>
      <c r="AC2" s="431" t="s">
        <v>384</v>
      </c>
      <c r="AD2" s="425"/>
      <c r="AE2" s="422" t="s">
        <v>385</v>
      </c>
      <c r="AF2" s="423"/>
      <c r="AG2" s="423"/>
      <c r="AH2" s="422" t="s">
        <v>386</v>
      </c>
      <c r="AI2" s="423"/>
      <c r="AJ2" s="466"/>
      <c r="AK2" s="422" t="s">
        <v>387</v>
      </c>
      <c r="AL2" s="423"/>
      <c r="AM2" s="423"/>
      <c r="AN2" s="422" t="s">
        <v>388</v>
      </c>
      <c r="AO2" s="423"/>
      <c r="AP2" s="423"/>
      <c r="AQ2" s="422" t="s">
        <v>389</v>
      </c>
      <c r="AR2" s="423"/>
      <c r="AS2" s="422" t="s">
        <v>390</v>
      </c>
      <c r="AT2" s="423"/>
      <c r="AU2" s="423"/>
      <c r="AV2" s="422" t="s">
        <v>391</v>
      </c>
      <c r="AW2" s="423"/>
      <c r="AX2" s="422" t="s">
        <v>392</v>
      </c>
      <c r="AY2" s="423"/>
      <c r="AZ2" s="423"/>
      <c r="BA2" s="423"/>
      <c r="BB2" s="422" t="s">
        <v>393</v>
      </c>
      <c r="BC2" s="423"/>
      <c r="BD2" s="466"/>
      <c r="BE2" s="429" t="s">
        <v>417</v>
      </c>
      <c r="BF2" s="232"/>
    </row>
    <row r="3" spans="1:222" s="65" customFormat="1" ht="42" customHeight="1" thickTop="1" thickBot="1" x14ac:dyDescent="0.35">
      <c r="A3" s="461"/>
      <c r="B3" s="463"/>
      <c r="C3" s="463"/>
      <c r="D3" s="447"/>
      <c r="E3" s="447"/>
      <c r="F3" s="400"/>
      <c r="G3" s="363" t="s">
        <v>38</v>
      </c>
      <c r="H3" s="78" t="s">
        <v>106</v>
      </c>
      <c r="I3" s="95" t="s">
        <v>113</v>
      </c>
      <c r="J3" s="268" t="s">
        <v>169</v>
      </c>
      <c r="K3" s="269" t="s">
        <v>63</v>
      </c>
      <c r="L3" s="96" t="s">
        <v>41</v>
      </c>
      <c r="M3" s="268" t="s">
        <v>107</v>
      </c>
      <c r="N3" s="95" t="s">
        <v>40</v>
      </c>
      <c r="O3" s="430"/>
      <c r="P3" s="269" t="s">
        <v>111</v>
      </c>
      <c r="Q3" s="78" t="s">
        <v>125</v>
      </c>
      <c r="R3" s="430"/>
      <c r="S3" s="77" t="s">
        <v>112</v>
      </c>
      <c r="T3" s="95" t="s">
        <v>137</v>
      </c>
      <c r="U3" s="269" t="s">
        <v>139</v>
      </c>
      <c r="V3" s="78" t="s">
        <v>138</v>
      </c>
      <c r="W3" s="269" t="s">
        <v>39</v>
      </c>
      <c r="X3" s="270" t="s">
        <v>128</v>
      </c>
      <c r="Y3" s="96" t="s">
        <v>108</v>
      </c>
      <c r="Z3" s="430"/>
      <c r="AA3" s="430"/>
      <c r="AB3" s="432"/>
      <c r="AC3" s="432"/>
      <c r="AD3" s="426"/>
      <c r="AE3" s="363" t="s">
        <v>67</v>
      </c>
      <c r="AF3" s="364" t="s">
        <v>118</v>
      </c>
      <c r="AG3" s="270" t="s">
        <v>127</v>
      </c>
      <c r="AH3" s="365" t="s">
        <v>65</v>
      </c>
      <c r="AI3" s="366" t="s">
        <v>66</v>
      </c>
      <c r="AJ3" s="367" t="s">
        <v>64</v>
      </c>
      <c r="AK3" s="368" t="s">
        <v>68</v>
      </c>
      <c r="AL3" s="364" t="s">
        <v>61</v>
      </c>
      <c r="AM3" s="270" t="s">
        <v>122</v>
      </c>
      <c r="AN3" s="363" t="s">
        <v>62</v>
      </c>
      <c r="AO3" s="270" t="s">
        <v>115</v>
      </c>
      <c r="AP3" s="369" t="s">
        <v>117</v>
      </c>
      <c r="AQ3" s="363" t="s">
        <v>70</v>
      </c>
      <c r="AR3" s="270" t="s">
        <v>114</v>
      </c>
      <c r="AS3" s="363" t="s">
        <v>69</v>
      </c>
      <c r="AT3" s="268" t="s">
        <v>120</v>
      </c>
      <c r="AU3" s="270" t="s">
        <v>77</v>
      </c>
      <c r="AV3" s="363" t="s">
        <v>75</v>
      </c>
      <c r="AW3" s="268" t="s">
        <v>78</v>
      </c>
      <c r="AX3" s="363" t="s">
        <v>72</v>
      </c>
      <c r="AY3" s="270" t="s">
        <v>74</v>
      </c>
      <c r="AZ3" s="369" t="s">
        <v>110</v>
      </c>
      <c r="BA3" s="268" t="s">
        <v>73</v>
      </c>
      <c r="BB3" s="269" t="s">
        <v>76</v>
      </c>
      <c r="BC3" s="369" t="s">
        <v>71</v>
      </c>
      <c r="BD3" s="376" t="s">
        <v>116</v>
      </c>
      <c r="BE3" s="430"/>
      <c r="BF3" s="232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</row>
    <row r="4" spans="1:222" ht="38.4" customHeight="1" thickTop="1" x14ac:dyDescent="0.5">
      <c r="A4" s="23" t="s">
        <v>5</v>
      </c>
      <c r="B4" s="7" t="s">
        <v>6</v>
      </c>
      <c r="C4" s="6">
        <v>1900</v>
      </c>
      <c r="D4" s="57" t="s">
        <v>7</v>
      </c>
      <c r="E4" s="84" t="s">
        <v>419</v>
      </c>
      <c r="F4" s="265" t="s">
        <v>295</v>
      </c>
      <c r="G4" s="86">
        <v>31</v>
      </c>
      <c r="H4" s="82">
        <v>2</v>
      </c>
      <c r="I4" s="225"/>
      <c r="J4" s="82"/>
      <c r="K4" s="248">
        <v>8</v>
      </c>
      <c r="L4" s="331"/>
      <c r="M4" s="82">
        <v>3</v>
      </c>
      <c r="N4" s="225"/>
      <c r="O4" s="248">
        <v>7</v>
      </c>
      <c r="P4" s="253">
        <v>2</v>
      </c>
      <c r="Q4" s="87"/>
      <c r="R4" s="248">
        <v>1</v>
      </c>
      <c r="S4" s="248">
        <v>2</v>
      </c>
      <c r="T4" s="225"/>
      <c r="U4" s="248"/>
      <c r="V4" s="87"/>
      <c r="W4" s="248"/>
      <c r="X4" s="82"/>
      <c r="Y4" s="331">
        <v>3</v>
      </c>
      <c r="Z4" s="248"/>
      <c r="AA4" s="248"/>
      <c r="AB4" s="258"/>
      <c r="AC4" s="258"/>
      <c r="AD4" s="265" t="s">
        <v>295</v>
      </c>
      <c r="AE4" s="97">
        <v>27</v>
      </c>
      <c r="AF4" s="42"/>
      <c r="AG4" s="67"/>
      <c r="AH4" s="98">
        <v>24</v>
      </c>
      <c r="AI4" s="99">
        <v>6</v>
      </c>
      <c r="AJ4" s="100"/>
      <c r="AK4" s="97">
        <v>13</v>
      </c>
      <c r="AL4" s="101">
        <v>9</v>
      </c>
      <c r="AM4" s="67"/>
      <c r="AN4" s="97">
        <v>8</v>
      </c>
      <c r="AO4" s="99">
        <v>2</v>
      </c>
      <c r="AP4" s="42"/>
      <c r="AQ4" s="97">
        <v>8</v>
      </c>
      <c r="AR4" s="99">
        <v>3</v>
      </c>
      <c r="AS4" s="97">
        <v>9</v>
      </c>
      <c r="AT4" s="102"/>
      <c r="AU4" s="99">
        <v>1</v>
      </c>
      <c r="AV4" s="48">
        <v>2</v>
      </c>
      <c r="AW4" s="68">
        <v>1</v>
      </c>
      <c r="AX4" s="48">
        <v>2</v>
      </c>
      <c r="AY4" s="67"/>
      <c r="AZ4" s="42">
        <v>1</v>
      </c>
      <c r="BA4" s="68">
        <v>2</v>
      </c>
      <c r="BB4" s="66">
        <v>1</v>
      </c>
      <c r="BC4" s="42">
        <v>3</v>
      </c>
      <c r="BD4" s="377"/>
      <c r="BE4" s="66"/>
      <c r="BF4" s="232"/>
    </row>
    <row r="5" spans="1:222" ht="32.4" customHeight="1" x14ac:dyDescent="0.5">
      <c r="A5" s="13" t="s">
        <v>8</v>
      </c>
      <c r="B5" s="3" t="s">
        <v>9</v>
      </c>
      <c r="C5" s="2">
        <v>1902</v>
      </c>
      <c r="D5" s="54" t="s">
        <v>10</v>
      </c>
      <c r="E5" s="85" t="s">
        <v>124</v>
      </c>
      <c r="F5" s="263" t="s">
        <v>299</v>
      </c>
      <c r="G5" s="88"/>
      <c r="H5" s="89"/>
      <c r="I5" s="223"/>
      <c r="J5" s="89"/>
      <c r="K5" s="249">
        <v>1</v>
      </c>
      <c r="L5" s="329"/>
      <c r="M5" s="89">
        <v>2</v>
      </c>
      <c r="N5" s="223"/>
      <c r="O5" s="249">
        <v>1</v>
      </c>
      <c r="P5" s="249"/>
      <c r="Q5" s="90"/>
      <c r="R5" s="249"/>
      <c r="S5" s="249"/>
      <c r="T5" s="223"/>
      <c r="U5" s="249"/>
      <c r="V5" s="90"/>
      <c r="W5" s="249"/>
      <c r="X5" s="89"/>
      <c r="Y5" s="329"/>
      <c r="Z5" s="249"/>
      <c r="AA5" s="249"/>
      <c r="AB5" s="259"/>
      <c r="AC5" s="259"/>
      <c r="AD5" s="263" t="s">
        <v>299</v>
      </c>
      <c r="AE5" s="71"/>
      <c r="AF5" s="72"/>
      <c r="AG5" s="73"/>
      <c r="AH5" s="70">
        <v>2</v>
      </c>
      <c r="AI5" s="73">
        <v>1</v>
      </c>
      <c r="AJ5" s="74"/>
      <c r="AK5" s="71">
        <v>1</v>
      </c>
      <c r="AL5" s="72">
        <v>4</v>
      </c>
      <c r="AM5" s="73"/>
      <c r="AN5" s="71"/>
      <c r="AO5" s="73"/>
      <c r="AP5" s="72"/>
      <c r="AQ5" s="71"/>
      <c r="AR5" s="73"/>
      <c r="AS5" s="71">
        <v>2</v>
      </c>
      <c r="AT5" s="75"/>
      <c r="AU5" s="73"/>
      <c r="AV5" s="71">
        <v>1</v>
      </c>
      <c r="AW5" s="75"/>
      <c r="AX5" s="71">
        <v>1</v>
      </c>
      <c r="AY5" s="73"/>
      <c r="AZ5" s="72"/>
      <c r="BA5" s="75"/>
      <c r="BB5" s="70">
        <v>3</v>
      </c>
      <c r="BC5" s="72">
        <v>2</v>
      </c>
      <c r="BD5" s="378"/>
      <c r="BE5" s="70"/>
      <c r="BF5" s="232"/>
    </row>
    <row r="6" spans="1:222" ht="36.6" customHeight="1" x14ac:dyDescent="0.5">
      <c r="A6" s="13" t="s">
        <v>11</v>
      </c>
      <c r="B6" s="3" t="s">
        <v>12</v>
      </c>
      <c r="C6" s="2">
        <v>1903</v>
      </c>
      <c r="D6" s="55" t="s">
        <v>7</v>
      </c>
      <c r="E6" s="85" t="s">
        <v>119</v>
      </c>
      <c r="F6" s="263" t="s">
        <v>297</v>
      </c>
      <c r="G6" s="88">
        <v>27</v>
      </c>
      <c r="H6" s="89">
        <v>2</v>
      </c>
      <c r="I6" s="223"/>
      <c r="J6" s="89"/>
      <c r="K6" s="249">
        <v>9</v>
      </c>
      <c r="L6" s="329">
        <v>1</v>
      </c>
      <c r="M6" s="89"/>
      <c r="N6" s="242">
        <v>5</v>
      </c>
      <c r="O6" s="249">
        <v>2</v>
      </c>
      <c r="P6" s="249">
        <v>1</v>
      </c>
      <c r="Q6" s="90"/>
      <c r="R6" s="249">
        <v>1</v>
      </c>
      <c r="S6" s="249"/>
      <c r="T6" s="223">
        <v>1</v>
      </c>
      <c r="U6" s="249"/>
      <c r="V6" s="90"/>
      <c r="W6" s="249"/>
      <c r="X6" s="89"/>
      <c r="Y6" s="329"/>
      <c r="Z6" s="249"/>
      <c r="AA6" s="249"/>
      <c r="AB6" s="259"/>
      <c r="AC6" s="259"/>
      <c r="AD6" s="263" t="s">
        <v>297</v>
      </c>
      <c r="AE6" s="71">
        <v>21</v>
      </c>
      <c r="AF6" s="72">
        <v>1</v>
      </c>
      <c r="AG6" s="73"/>
      <c r="AH6" s="70">
        <v>4</v>
      </c>
      <c r="AI6" s="73"/>
      <c r="AJ6" s="74"/>
      <c r="AK6" s="71">
        <v>19</v>
      </c>
      <c r="AL6" s="72">
        <v>6</v>
      </c>
      <c r="AM6" s="73"/>
      <c r="AN6" s="71">
        <v>1</v>
      </c>
      <c r="AO6" s="73">
        <v>17</v>
      </c>
      <c r="AP6" s="72">
        <v>1</v>
      </c>
      <c r="AQ6" s="71"/>
      <c r="AR6" s="73"/>
      <c r="AS6" s="71">
        <v>4</v>
      </c>
      <c r="AT6" s="75"/>
      <c r="AU6" s="73"/>
      <c r="AV6" s="71"/>
      <c r="AW6" s="113">
        <v>6</v>
      </c>
      <c r="AX6" s="71">
        <v>1</v>
      </c>
      <c r="AY6" s="73">
        <v>1</v>
      </c>
      <c r="AZ6" s="72"/>
      <c r="BA6" s="75"/>
      <c r="BB6" s="70">
        <v>3</v>
      </c>
      <c r="BC6" s="72"/>
      <c r="BD6" s="378">
        <v>1</v>
      </c>
      <c r="BE6" s="70">
        <v>1</v>
      </c>
      <c r="BF6" s="232"/>
    </row>
    <row r="7" spans="1:222" ht="27.6" customHeight="1" x14ac:dyDescent="0.5">
      <c r="A7" s="13" t="s">
        <v>13</v>
      </c>
      <c r="B7" s="3" t="s">
        <v>14</v>
      </c>
      <c r="C7" s="2">
        <v>1904</v>
      </c>
      <c r="D7" s="55" t="s">
        <v>15</v>
      </c>
      <c r="E7" s="85" t="s">
        <v>121</v>
      </c>
      <c r="F7" s="263" t="s">
        <v>300</v>
      </c>
      <c r="G7" s="88">
        <v>21</v>
      </c>
      <c r="H7" s="89"/>
      <c r="I7" s="223"/>
      <c r="J7" s="89"/>
      <c r="K7" s="249"/>
      <c r="L7" s="329"/>
      <c r="M7" s="89"/>
      <c r="N7" s="223"/>
      <c r="O7" s="249"/>
      <c r="P7" s="252">
        <v>5</v>
      </c>
      <c r="Q7" s="90"/>
      <c r="R7" s="249"/>
      <c r="S7" s="249"/>
      <c r="T7" s="223"/>
      <c r="U7" s="249"/>
      <c r="V7" s="90"/>
      <c r="W7" s="249"/>
      <c r="X7" s="89"/>
      <c r="Y7" s="329"/>
      <c r="Z7" s="249"/>
      <c r="AA7" s="249"/>
      <c r="AB7" s="259"/>
      <c r="AC7" s="259"/>
      <c r="AD7" s="263" t="s">
        <v>300</v>
      </c>
      <c r="AE7" s="71">
        <v>17</v>
      </c>
      <c r="AF7" s="72">
        <v>1</v>
      </c>
      <c r="AG7" s="73"/>
      <c r="AH7" s="70">
        <v>5</v>
      </c>
      <c r="AI7" s="73"/>
      <c r="AJ7" s="74"/>
      <c r="AK7" s="71"/>
      <c r="AL7" s="72">
        <v>3</v>
      </c>
      <c r="AM7" s="73"/>
      <c r="AN7" s="71">
        <v>3</v>
      </c>
      <c r="AO7" s="73"/>
      <c r="AP7" s="72"/>
      <c r="AQ7" s="71"/>
      <c r="AR7" s="73"/>
      <c r="AS7" s="71">
        <v>1</v>
      </c>
      <c r="AT7" s="113">
        <v>5</v>
      </c>
      <c r="AU7" s="73"/>
      <c r="AV7" s="71">
        <v>1</v>
      </c>
      <c r="AW7" s="75">
        <v>1</v>
      </c>
      <c r="AX7" s="71"/>
      <c r="AY7" s="73"/>
      <c r="AZ7" s="72">
        <v>1</v>
      </c>
      <c r="BA7" s="75"/>
      <c r="BB7" s="70"/>
      <c r="BC7" s="72"/>
      <c r="BD7" s="378"/>
      <c r="BE7" s="70"/>
      <c r="BF7" s="232"/>
    </row>
    <row r="8" spans="1:222" s="47" customFormat="1" ht="36.6" customHeight="1" thickBot="1" x14ac:dyDescent="0.55000000000000004">
      <c r="A8" s="14" t="s">
        <v>16</v>
      </c>
      <c r="B8" s="15" t="s">
        <v>17</v>
      </c>
      <c r="C8" s="16">
        <v>1905</v>
      </c>
      <c r="D8" s="56" t="s">
        <v>7</v>
      </c>
      <c r="E8" s="85" t="s">
        <v>123</v>
      </c>
      <c r="F8" s="264" t="s">
        <v>296</v>
      </c>
      <c r="G8" s="91">
        <v>15</v>
      </c>
      <c r="H8" s="92">
        <v>2</v>
      </c>
      <c r="I8" s="224">
        <v>1</v>
      </c>
      <c r="J8" s="92"/>
      <c r="K8" s="250">
        <v>12</v>
      </c>
      <c r="L8" s="330"/>
      <c r="M8" s="92">
        <v>5</v>
      </c>
      <c r="N8" s="224"/>
      <c r="O8" s="250">
        <v>8</v>
      </c>
      <c r="P8" s="250"/>
      <c r="Q8" s="93"/>
      <c r="R8" s="250"/>
      <c r="S8" s="250">
        <v>3</v>
      </c>
      <c r="T8" s="224"/>
      <c r="U8" s="250"/>
      <c r="V8" s="93"/>
      <c r="W8" s="250"/>
      <c r="X8" s="92"/>
      <c r="Y8" s="330"/>
      <c r="Z8" s="250">
        <v>1</v>
      </c>
      <c r="AA8" s="250"/>
      <c r="AB8" s="260">
        <v>1</v>
      </c>
      <c r="AC8" s="260">
        <v>1</v>
      </c>
      <c r="AD8" s="264" t="s">
        <v>296</v>
      </c>
      <c r="AE8" s="79">
        <v>17</v>
      </c>
      <c r="AF8" s="95">
        <v>1</v>
      </c>
      <c r="AG8" s="78"/>
      <c r="AH8" s="77">
        <v>35</v>
      </c>
      <c r="AI8" s="134">
        <v>12</v>
      </c>
      <c r="AJ8" s="96"/>
      <c r="AK8" s="79">
        <v>19</v>
      </c>
      <c r="AL8" s="95">
        <v>10</v>
      </c>
      <c r="AM8" s="78">
        <v>1</v>
      </c>
      <c r="AN8" s="112">
        <v>13</v>
      </c>
      <c r="AO8" s="78">
        <v>2</v>
      </c>
      <c r="AP8" s="95"/>
      <c r="AQ8" s="79">
        <v>5</v>
      </c>
      <c r="AR8" s="78">
        <v>1</v>
      </c>
      <c r="AS8" s="79">
        <v>8</v>
      </c>
      <c r="AT8" s="80">
        <v>2</v>
      </c>
      <c r="AU8" s="78"/>
      <c r="AV8" s="114">
        <v>5</v>
      </c>
      <c r="AW8" s="80"/>
      <c r="AX8" s="79">
        <v>1</v>
      </c>
      <c r="AY8" s="78">
        <v>2</v>
      </c>
      <c r="AZ8" s="95"/>
      <c r="BA8" s="80"/>
      <c r="BB8" s="77"/>
      <c r="BC8" s="95"/>
      <c r="BD8" s="379"/>
      <c r="BE8" s="77"/>
      <c r="BF8" s="232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</row>
    <row r="9" spans="1:222" ht="39.6" customHeight="1" thickTop="1" x14ac:dyDescent="0.5">
      <c r="A9" s="6" t="s">
        <v>11</v>
      </c>
      <c r="B9" s="7" t="s">
        <v>18</v>
      </c>
      <c r="C9" s="6">
        <v>1908</v>
      </c>
      <c r="D9" s="57" t="s">
        <v>7</v>
      </c>
      <c r="E9" s="85" t="s">
        <v>170</v>
      </c>
      <c r="F9" s="265" t="s">
        <v>291</v>
      </c>
      <c r="G9" s="127">
        <v>40</v>
      </c>
      <c r="H9" s="130">
        <v>10</v>
      </c>
      <c r="I9" s="225">
        <v>6</v>
      </c>
      <c r="J9" s="82">
        <v>1</v>
      </c>
      <c r="K9" s="251">
        <v>21</v>
      </c>
      <c r="L9" s="354">
        <v>8</v>
      </c>
      <c r="M9" s="130">
        <v>26</v>
      </c>
      <c r="N9" s="225"/>
      <c r="O9" s="251">
        <v>15</v>
      </c>
      <c r="P9" s="248">
        <v>2</v>
      </c>
      <c r="Q9" s="87">
        <v>1</v>
      </c>
      <c r="R9" s="255">
        <v>6</v>
      </c>
      <c r="S9" s="251">
        <v>6</v>
      </c>
      <c r="T9" s="225"/>
      <c r="U9" s="251">
        <v>5</v>
      </c>
      <c r="V9" s="132">
        <v>5</v>
      </c>
      <c r="W9" s="251">
        <v>6</v>
      </c>
      <c r="X9" s="82"/>
      <c r="Y9" s="331"/>
      <c r="Z9" s="248"/>
      <c r="AA9" s="248">
        <v>1</v>
      </c>
      <c r="AB9" s="261">
        <v>1</v>
      </c>
      <c r="AC9" s="261"/>
      <c r="AD9" s="265" t="s">
        <v>291</v>
      </c>
      <c r="AE9" s="104">
        <v>37</v>
      </c>
      <c r="AF9" s="42">
        <v>1</v>
      </c>
      <c r="AG9" s="67"/>
      <c r="AH9" s="133">
        <v>53</v>
      </c>
      <c r="AI9" s="117">
        <v>12</v>
      </c>
      <c r="AJ9" s="51"/>
      <c r="AK9" s="104">
        <v>29</v>
      </c>
      <c r="AL9" s="107">
        <v>29</v>
      </c>
      <c r="AM9" s="67">
        <v>1</v>
      </c>
      <c r="AN9" s="108">
        <v>56</v>
      </c>
      <c r="AO9" s="67">
        <v>7</v>
      </c>
      <c r="AP9" s="107">
        <v>4</v>
      </c>
      <c r="AQ9" s="108">
        <v>29</v>
      </c>
      <c r="AR9" s="111">
        <v>6</v>
      </c>
      <c r="AS9" s="48">
        <v>7</v>
      </c>
      <c r="AT9" s="68">
        <v>2</v>
      </c>
      <c r="AU9" s="67"/>
      <c r="AV9" s="48">
        <v>1</v>
      </c>
      <c r="AW9" s="116">
        <v>4</v>
      </c>
      <c r="AX9" s="48">
        <v>3</v>
      </c>
      <c r="AY9" s="117">
        <v>4</v>
      </c>
      <c r="AZ9" s="42">
        <v>2</v>
      </c>
      <c r="BA9" s="68"/>
      <c r="BB9" s="133">
        <v>7</v>
      </c>
      <c r="BC9" s="42">
        <v>1</v>
      </c>
      <c r="BD9" s="377"/>
      <c r="BE9" s="66">
        <v>2</v>
      </c>
      <c r="BF9" s="232"/>
    </row>
    <row r="10" spans="1:222" ht="37.200000000000003" customHeight="1" x14ac:dyDescent="0.5">
      <c r="A10" s="2" t="s">
        <v>19</v>
      </c>
      <c r="B10" s="3" t="s">
        <v>20</v>
      </c>
      <c r="C10" s="2">
        <v>1908</v>
      </c>
      <c r="D10" s="55" t="s">
        <v>15</v>
      </c>
      <c r="E10" s="85" t="s">
        <v>126</v>
      </c>
      <c r="F10" s="263" t="s">
        <v>292</v>
      </c>
      <c r="G10" s="88">
        <v>6</v>
      </c>
      <c r="H10" s="89">
        <v>1</v>
      </c>
      <c r="I10" s="223"/>
      <c r="J10" s="89"/>
      <c r="K10" s="252">
        <v>16</v>
      </c>
      <c r="L10" s="329"/>
      <c r="M10" s="89">
        <v>3</v>
      </c>
      <c r="N10" s="223"/>
      <c r="O10" s="252">
        <v>13</v>
      </c>
      <c r="P10" s="249"/>
      <c r="Q10" s="90">
        <v>1</v>
      </c>
      <c r="R10" s="254">
        <v>10</v>
      </c>
      <c r="S10" s="249"/>
      <c r="T10" s="223"/>
      <c r="U10" s="249"/>
      <c r="V10" s="90"/>
      <c r="W10" s="249"/>
      <c r="X10" s="89"/>
      <c r="Y10" s="329"/>
      <c r="Z10" s="249"/>
      <c r="AA10" s="249"/>
      <c r="AB10" s="259"/>
      <c r="AC10" s="259"/>
      <c r="AD10" s="263" t="s">
        <v>292</v>
      </c>
      <c r="AE10" s="103">
        <v>37</v>
      </c>
      <c r="AF10" s="72">
        <v>2</v>
      </c>
      <c r="AG10" s="73"/>
      <c r="AH10" s="70">
        <v>24</v>
      </c>
      <c r="AI10" s="73">
        <v>3</v>
      </c>
      <c r="AJ10" s="74">
        <v>1</v>
      </c>
      <c r="AK10" s="71">
        <v>12</v>
      </c>
      <c r="AL10" s="106">
        <v>14</v>
      </c>
      <c r="AM10" s="73"/>
      <c r="AN10" s="71">
        <v>10</v>
      </c>
      <c r="AO10" s="73">
        <v>2</v>
      </c>
      <c r="AP10" s="72"/>
      <c r="AQ10" s="103">
        <v>15</v>
      </c>
      <c r="AR10" s="109">
        <v>5</v>
      </c>
      <c r="AS10" s="105">
        <v>20</v>
      </c>
      <c r="AT10" s="75"/>
      <c r="AU10" s="73"/>
      <c r="AV10" s="71">
        <v>1</v>
      </c>
      <c r="AW10" s="75">
        <v>2</v>
      </c>
      <c r="AX10" s="71">
        <v>2</v>
      </c>
      <c r="AY10" s="73"/>
      <c r="AZ10" s="72"/>
      <c r="BA10" s="75">
        <v>1</v>
      </c>
      <c r="BB10" s="70"/>
      <c r="BC10" s="72"/>
      <c r="BD10" s="378"/>
      <c r="BE10" s="70">
        <v>1</v>
      </c>
      <c r="BF10" s="232"/>
    </row>
    <row r="11" spans="1:222" ht="37.200000000000003" customHeight="1" x14ac:dyDescent="0.5">
      <c r="A11" s="2" t="s">
        <v>21</v>
      </c>
      <c r="B11" s="3" t="s">
        <v>22</v>
      </c>
      <c r="C11" s="2">
        <v>1909</v>
      </c>
      <c r="D11" s="55" t="s">
        <v>7</v>
      </c>
      <c r="E11" s="85" t="s">
        <v>129</v>
      </c>
      <c r="F11" s="263"/>
      <c r="G11" s="88">
        <v>19</v>
      </c>
      <c r="H11" s="89">
        <v>1</v>
      </c>
      <c r="I11" s="223"/>
      <c r="J11" s="89"/>
      <c r="K11" s="249">
        <v>11</v>
      </c>
      <c r="L11" s="355">
        <v>6</v>
      </c>
      <c r="M11" s="89"/>
      <c r="N11" s="243">
        <v>8</v>
      </c>
      <c r="O11" s="249">
        <v>3</v>
      </c>
      <c r="P11" s="249"/>
      <c r="Q11" s="90"/>
      <c r="R11" s="249">
        <v>3</v>
      </c>
      <c r="S11" s="249"/>
      <c r="T11" s="223">
        <v>2</v>
      </c>
      <c r="U11" s="249"/>
      <c r="V11" s="90">
        <v>1</v>
      </c>
      <c r="W11" s="249">
        <v>1</v>
      </c>
      <c r="X11" s="89">
        <v>1</v>
      </c>
      <c r="Y11" s="329"/>
      <c r="Z11" s="254">
        <v>3</v>
      </c>
      <c r="AA11" s="249"/>
      <c r="AB11" s="262">
        <v>1</v>
      </c>
      <c r="AC11" s="259"/>
      <c r="AD11" s="263"/>
      <c r="AE11" s="71">
        <v>22</v>
      </c>
      <c r="AF11" s="72">
        <v>1</v>
      </c>
      <c r="AG11" s="73">
        <v>2</v>
      </c>
      <c r="AH11" s="70">
        <v>11</v>
      </c>
      <c r="AI11" s="73">
        <v>3</v>
      </c>
      <c r="AJ11" s="74"/>
      <c r="AK11" s="71">
        <v>13</v>
      </c>
      <c r="AL11" s="72">
        <v>11</v>
      </c>
      <c r="AM11" s="73"/>
      <c r="AN11" s="71">
        <v>9</v>
      </c>
      <c r="AO11" s="73"/>
      <c r="AP11" s="72"/>
      <c r="AQ11" s="103">
        <v>10</v>
      </c>
      <c r="AR11" s="110">
        <v>16</v>
      </c>
      <c r="AS11" s="71">
        <v>5</v>
      </c>
      <c r="AT11" s="75"/>
      <c r="AU11" s="73">
        <v>1</v>
      </c>
      <c r="AV11" s="103">
        <v>4</v>
      </c>
      <c r="AW11" s="75">
        <v>2</v>
      </c>
      <c r="AX11" s="105">
        <v>7</v>
      </c>
      <c r="AY11" s="73">
        <v>1</v>
      </c>
      <c r="AZ11" s="72"/>
      <c r="BA11" s="75"/>
      <c r="BB11" s="70">
        <v>1</v>
      </c>
      <c r="BC11" s="72"/>
      <c r="BD11" s="378"/>
      <c r="BE11" s="70"/>
      <c r="BF11" s="232"/>
    </row>
    <row r="12" spans="1:222" ht="36" customHeight="1" x14ac:dyDescent="0.5">
      <c r="A12" s="2" t="s">
        <v>23</v>
      </c>
      <c r="B12" s="3" t="s">
        <v>24</v>
      </c>
      <c r="C12" s="2">
        <v>1909</v>
      </c>
      <c r="D12" s="55" t="s">
        <v>15</v>
      </c>
      <c r="E12" s="85" t="s">
        <v>130</v>
      </c>
      <c r="F12" s="263" t="s">
        <v>287</v>
      </c>
      <c r="G12" s="88">
        <v>13</v>
      </c>
      <c r="H12" s="89"/>
      <c r="I12" s="223"/>
      <c r="J12" s="89"/>
      <c r="K12" s="249">
        <v>5</v>
      </c>
      <c r="L12" s="355">
        <v>6</v>
      </c>
      <c r="M12" s="89"/>
      <c r="N12" s="223"/>
      <c r="O12" s="249">
        <v>6</v>
      </c>
      <c r="P12" s="249">
        <v>3</v>
      </c>
      <c r="Q12" s="90"/>
      <c r="R12" s="249">
        <v>1</v>
      </c>
      <c r="S12" s="249"/>
      <c r="T12" s="223"/>
      <c r="U12" s="249"/>
      <c r="V12" s="90"/>
      <c r="W12" s="249"/>
      <c r="X12" s="89"/>
      <c r="Y12" s="329"/>
      <c r="Z12" s="249"/>
      <c r="AA12" s="249"/>
      <c r="AB12" s="259"/>
      <c r="AC12" s="259"/>
      <c r="AD12" s="263" t="s">
        <v>285</v>
      </c>
      <c r="AE12" s="71">
        <v>20</v>
      </c>
      <c r="AF12" s="72"/>
      <c r="AG12" s="73"/>
      <c r="AH12" s="70">
        <v>3</v>
      </c>
      <c r="AI12" s="73">
        <v>3</v>
      </c>
      <c r="AJ12" s="74"/>
      <c r="AK12" s="105">
        <v>31</v>
      </c>
      <c r="AL12" s="72">
        <v>8</v>
      </c>
      <c r="AM12" s="73"/>
      <c r="AN12" s="71">
        <v>11</v>
      </c>
      <c r="AO12" s="73"/>
      <c r="AP12" s="72">
        <v>2</v>
      </c>
      <c r="AQ12" s="71">
        <v>4</v>
      </c>
      <c r="AR12" s="73"/>
      <c r="AS12" s="71">
        <v>3</v>
      </c>
      <c r="AT12" s="75">
        <v>1</v>
      </c>
      <c r="AU12" s="73"/>
      <c r="AV12" s="71">
        <v>1</v>
      </c>
      <c r="AW12" s="115">
        <v>4</v>
      </c>
      <c r="AX12" s="71">
        <v>2</v>
      </c>
      <c r="AY12" s="73"/>
      <c r="AZ12" s="72"/>
      <c r="BA12" s="75">
        <v>1</v>
      </c>
      <c r="BB12" s="70">
        <v>3</v>
      </c>
      <c r="BC12" s="72"/>
      <c r="BD12" s="378"/>
      <c r="BE12" s="70"/>
      <c r="BF12" s="232"/>
    </row>
    <row r="13" spans="1:222" ht="35.4" customHeight="1" x14ac:dyDescent="0.5">
      <c r="A13" s="2" t="s">
        <v>25</v>
      </c>
      <c r="B13" s="3" t="s">
        <v>26</v>
      </c>
      <c r="C13" s="2">
        <v>1910</v>
      </c>
      <c r="D13" s="55" t="s">
        <v>7</v>
      </c>
      <c r="E13" s="85" t="s">
        <v>131</v>
      </c>
      <c r="F13" s="263" t="s">
        <v>296</v>
      </c>
      <c r="G13" s="88">
        <v>2</v>
      </c>
      <c r="H13" s="89">
        <v>1</v>
      </c>
      <c r="I13" s="223"/>
      <c r="J13" s="89"/>
      <c r="K13" s="249"/>
      <c r="L13" s="329"/>
      <c r="M13" s="89"/>
      <c r="N13" s="223"/>
      <c r="O13" s="249"/>
      <c r="P13" s="254">
        <v>12</v>
      </c>
      <c r="Q13" s="90"/>
      <c r="R13" s="249"/>
      <c r="S13" s="249"/>
      <c r="T13" s="223"/>
      <c r="U13" s="249"/>
      <c r="V13" s="90"/>
      <c r="W13" s="249"/>
      <c r="X13" s="89"/>
      <c r="Y13" s="329"/>
      <c r="Z13" s="249"/>
      <c r="AA13" s="249"/>
      <c r="AB13" s="259"/>
      <c r="AC13" s="259"/>
      <c r="AD13" s="263" t="s">
        <v>299</v>
      </c>
      <c r="AE13" s="71"/>
      <c r="AF13" s="72"/>
      <c r="AG13" s="73"/>
      <c r="AH13" s="70">
        <v>3</v>
      </c>
      <c r="AI13" s="73">
        <v>1</v>
      </c>
      <c r="AJ13" s="74"/>
      <c r="AK13" s="71">
        <v>10</v>
      </c>
      <c r="AL13" s="72">
        <v>3</v>
      </c>
      <c r="AM13" s="73"/>
      <c r="AN13" s="71">
        <v>1</v>
      </c>
      <c r="AO13" s="73"/>
      <c r="AP13" s="72">
        <v>3</v>
      </c>
      <c r="AQ13" s="71"/>
      <c r="AR13" s="73"/>
      <c r="AS13" s="71">
        <v>1</v>
      </c>
      <c r="AT13" s="75">
        <v>2</v>
      </c>
      <c r="AU13" s="73"/>
      <c r="AV13" s="71">
        <v>3</v>
      </c>
      <c r="AW13" s="75"/>
      <c r="AX13" s="71">
        <v>1</v>
      </c>
      <c r="AY13" s="73"/>
      <c r="AZ13" s="72"/>
      <c r="BA13" s="75"/>
      <c r="BB13" s="70"/>
      <c r="BC13" s="72">
        <v>1</v>
      </c>
      <c r="BD13" s="378"/>
      <c r="BE13" s="70"/>
      <c r="BF13" s="232"/>
    </row>
    <row r="14" spans="1:222" s="47" customFormat="1" ht="30" customHeight="1" thickBot="1" x14ac:dyDescent="0.55000000000000004">
      <c r="A14" s="44" t="s">
        <v>27</v>
      </c>
      <c r="B14" s="15" t="s">
        <v>28</v>
      </c>
      <c r="C14" s="16">
        <v>1910</v>
      </c>
      <c r="D14" s="56" t="s">
        <v>29</v>
      </c>
      <c r="E14" s="85" t="s">
        <v>136</v>
      </c>
      <c r="F14" s="264" t="s">
        <v>299</v>
      </c>
      <c r="G14" s="91">
        <v>12</v>
      </c>
      <c r="H14" s="92">
        <v>2</v>
      </c>
      <c r="I14" s="224"/>
      <c r="J14" s="92"/>
      <c r="K14" s="250">
        <v>5</v>
      </c>
      <c r="L14" s="330">
        <v>3</v>
      </c>
      <c r="M14" s="92"/>
      <c r="N14" s="240">
        <v>8</v>
      </c>
      <c r="O14" s="250">
        <v>4</v>
      </c>
      <c r="P14" s="250"/>
      <c r="Q14" s="93"/>
      <c r="R14" s="250">
        <v>3</v>
      </c>
      <c r="S14" s="250"/>
      <c r="T14" s="224"/>
      <c r="U14" s="250">
        <v>1</v>
      </c>
      <c r="V14" s="93">
        <v>1</v>
      </c>
      <c r="W14" s="250"/>
      <c r="X14" s="92"/>
      <c r="Y14" s="330"/>
      <c r="Z14" s="250"/>
      <c r="AA14" s="250"/>
      <c r="AB14" s="260"/>
      <c r="AC14" s="260"/>
      <c r="AD14" s="264" t="s">
        <v>297</v>
      </c>
      <c r="AE14" s="79">
        <v>31</v>
      </c>
      <c r="AF14" s="95">
        <v>1</v>
      </c>
      <c r="AG14" s="78"/>
      <c r="AH14" s="135">
        <v>41</v>
      </c>
      <c r="AI14" s="78">
        <v>2</v>
      </c>
      <c r="AJ14" s="96"/>
      <c r="AK14" s="79">
        <v>5</v>
      </c>
      <c r="AL14" s="95">
        <v>2</v>
      </c>
      <c r="AM14" s="78"/>
      <c r="AN14" s="79">
        <v>5</v>
      </c>
      <c r="AO14" s="78"/>
      <c r="AP14" s="95"/>
      <c r="AQ14" s="79">
        <v>4</v>
      </c>
      <c r="AR14" s="78">
        <v>4</v>
      </c>
      <c r="AS14" s="79"/>
      <c r="AT14" s="80">
        <v>1</v>
      </c>
      <c r="AU14" s="78"/>
      <c r="AV14" s="79"/>
      <c r="AW14" s="80"/>
      <c r="AX14" s="79"/>
      <c r="AY14" s="78"/>
      <c r="AZ14" s="95"/>
      <c r="BA14" s="80"/>
      <c r="BB14" s="77"/>
      <c r="BC14" s="95"/>
      <c r="BD14" s="379"/>
      <c r="BE14" s="77"/>
      <c r="BF14" s="232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</row>
    <row r="15" spans="1:222" ht="37.799999999999997" customHeight="1" thickTop="1" x14ac:dyDescent="0.5">
      <c r="A15" s="23" t="s">
        <v>30</v>
      </c>
      <c r="B15" s="7" t="s">
        <v>31</v>
      </c>
      <c r="C15" s="7">
        <v>1911</v>
      </c>
      <c r="D15" s="83" t="s">
        <v>7</v>
      </c>
      <c r="E15" s="85" t="s">
        <v>132</v>
      </c>
      <c r="F15" s="265" t="s">
        <v>287</v>
      </c>
      <c r="G15" s="94">
        <v>5</v>
      </c>
      <c r="H15" s="82"/>
      <c r="I15" s="225"/>
      <c r="J15" s="82"/>
      <c r="K15" s="248">
        <v>4</v>
      </c>
      <c r="L15" s="331"/>
      <c r="M15" s="82"/>
      <c r="N15" s="225"/>
      <c r="O15" s="248">
        <v>2</v>
      </c>
      <c r="P15" s="255">
        <v>5</v>
      </c>
      <c r="Q15" s="87">
        <v>2</v>
      </c>
      <c r="R15" s="248"/>
      <c r="S15" s="248"/>
      <c r="T15" s="225"/>
      <c r="U15" s="248"/>
      <c r="V15" s="87"/>
      <c r="W15" s="248"/>
      <c r="X15" s="82"/>
      <c r="Y15" s="331">
        <v>1</v>
      </c>
      <c r="Z15" s="248"/>
      <c r="AA15" s="248"/>
      <c r="AB15" s="261"/>
      <c r="AC15" s="261"/>
      <c r="AD15" s="265" t="s">
        <v>298</v>
      </c>
      <c r="AE15" s="48">
        <v>12</v>
      </c>
      <c r="AF15" s="42"/>
      <c r="AG15" s="67"/>
      <c r="AH15" s="66">
        <v>3</v>
      </c>
      <c r="AI15" s="67">
        <v>1</v>
      </c>
      <c r="AJ15" s="51"/>
      <c r="AK15" s="48">
        <v>7</v>
      </c>
      <c r="AL15" s="42">
        <v>1</v>
      </c>
      <c r="AM15" s="67"/>
      <c r="AN15" s="48">
        <v>2</v>
      </c>
      <c r="AO15" s="67"/>
      <c r="AP15" s="42"/>
      <c r="AQ15" s="48"/>
      <c r="AR15" s="67"/>
      <c r="AS15" s="48">
        <v>3</v>
      </c>
      <c r="AT15" s="68">
        <v>2</v>
      </c>
      <c r="AU15" s="67">
        <v>1</v>
      </c>
      <c r="AV15" s="48">
        <v>1</v>
      </c>
      <c r="AW15" s="68"/>
      <c r="AX15" s="48"/>
      <c r="AY15" s="67"/>
      <c r="AZ15" s="42"/>
      <c r="BA15" s="68"/>
      <c r="BB15" s="66"/>
      <c r="BC15" s="42"/>
      <c r="BD15" s="377"/>
      <c r="BE15" s="66"/>
      <c r="BF15" s="232"/>
    </row>
    <row r="16" spans="1:222" ht="37.799999999999997" customHeight="1" x14ac:dyDescent="0.5">
      <c r="A16" s="13" t="s">
        <v>32</v>
      </c>
      <c r="B16" s="3" t="s">
        <v>33</v>
      </c>
      <c r="C16" s="2">
        <v>1912</v>
      </c>
      <c r="D16" s="55" t="s">
        <v>7</v>
      </c>
      <c r="E16" s="85" t="s">
        <v>133</v>
      </c>
      <c r="F16" s="263" t="s">
        <v>288</v>
      </c>
      <c r="G16" s="88">
        <v>9</v>
      </c>
      <c r="H16" s="129">
        <v>3</v>
      </c>
      <c r="I16" s="223"/>
      <c r="J16" s="89"/>
      <c r="K16" s="249">
        <v>7</v>
      </c>
      <c r="L16" s="329">
        <v>2</v>
      </c>
      <c r="M16" s="89"/>
      <c r="N16" s="223">
        <v>2</v>
      </c>
      <c r="O16" s="249">
        <v>1</v>
      </c>
      <c r="P16" s="249"/>
      <c r="Q16" s="90"/>
      <c r="R16" s="249"/>
      <c r="S16" s="249">
        <v>2</v>
      </c>
      <c r="T16" s="223"/>
      <c r="U16" s="249"/>
      <c r="V16" s="90"/>
      <c r="W16" s="249"/>
      <c r="X16" s="89">
        <v>1</v>
      </c>
      <c r="Y16" s="329"/>
      <c r="Z16" s="249"/>
      <c r="AA16" s="249"/>
      <c r="AB16" s="259"/>
      <c r="AC16" s="259"/>
      <c r="AD16" s="263" t="s">
        <v>295</v>
      </c>
      <c r="AE16" s="71">
        <v>5</v>
      </c>
      <c r="AF16" s="72">
        <v>1</v>
      </c>
      <c r="AG16" s="73"/>
      <c r="AH16" s="70">
        <v>12</v>
      </c>
      <c r="AI16" s="73">
        <v>1</v>
      </c>
      <c r="AJ16" s="74"/>
      <c r="AK16" s="71">
        <v>4</v>
      </c>
      <c r="AL16" s="72"/>
      <c r="AM16" s="73"/>
      <c r="AN16" s="71">
        <v>5</v>
      </c>
      <c r="AO16" s="73"/>
      <c r="AP16" s="72"/>
      <c r="AQ16" s="71">
        <v>1</v>
      </c>
      <c r="AR16" s="73"/>
      <c r="AS16" s="71"/>
      <c r="AT16" s="75"/>
      <c r="AU16" s="73"/>
      <c r="AV16" s="71">
        <v>2</v>
      </c>
      <c r="AW16" s="75">
        <v>2</v>
      </c>
      <c r="AX16" s="71"/>
      <c r="AY16" s="73"/>
      <c r="AZ16" s="72"/>
      <c r="BA16" s="75"/>
      <c r="BB16" s="70"/>
      <c r="BC16" s="72"/>
      <c r="BD16" s="378"/>
      <c r="BE16" s="70"/>
      <c r="BF16" s="232"/>
    </row>
    <row r="17" spans="1:222" ht="36.6" customHeight="1" x14ac:dyDescent="0.5">
      <c r="A17" s="13" t="s">
        <v>34</v>
      </c>
      <c r="B17" s="3" t="s">
        <v>35</v>
      </c>
      <c r="C17" s="2">
        <v>1913</v>
      </c>
      <c r="D17" s="55" t="s">
        <v>7</v>
      </c>
      <c r="E17" s="85" t="s">
        <v>134</v>
      </c>
      <c r="F17" s="263" t="s">
        <v>299</v>
      </c>
      <c r="G17" s="88">
        <v>14</v>
      </c>
      <c r="H17" s="129">
        <v>7</v>
      </c>
      <c r="I17" s="223">
        <v>1</v>
      </c>
      <c r="J17" s="89"/>
      <c r="K17" s="252">
        <v>20</v>
      </c>
      <c r="L17" s="329"/>
      <c r="M17" s="129">
        <v>18</v>
      </c>
      <c r="N17" s="223"/>
      <c r="O17" s="252">
        <v>12</v>
      </c>
      <c r="P17" s="249">
        <v>1</v>
      </c>
      <c r="Q17" s="90"/>
      <c r="R17" s="249">
        <v>3</v>
      </c>
      <c r="S17" s="249">
        <v>3</v>
      </c>
      <c r="T17" s="223"/>
      <c r="U17" s="249">
        <v>2</v>
      </c>
      <c r="V17" s="90">
        <v>2</v>
      </c>
      <c r="W17" s="249"/>
      <c r="X17" s="89">
        <v>2</v>
      </c>
      <c r="Y17" s="329"/>
      <c r="Z17" s="249"/>
      <c r="AA17" s="254">
        <v>2</v>
      </c>
      <c r="AB17" s="259"/>
      <c r="AC17" s="259"/>
      <c r="AD17" s="263" t="s">
        <v>291</v>
      </c>
      <c r="AE17" s="105">
        <v>42</v>
      </c>
      <c r="AF17" s="72">
        <v>1</v>
      </c>
      <c r="AG17" s="73"/>
      <c r="AH17" s="136">
        <v>42</v>
      </c>
      <c r="AI17" s="109">
        <v>6</v>
      </c>
      <c r="AJ17" s="74"/>
      <c r="AK17" s="103">
        <v>26</v>
      </c>
      <c r="AL17" s="106">
        <v>12</v>
      </c>
      <c r="AM17" s="73"/>
      <c r="AN17" s="103">
        <v>16</v>
      </c>
      <c r="AO17" s="73">
        <v>5</v>
      </c>
      <c r="AP17" s="72"/>
      <c r="AQ17" s="103">
        <v>10</v>
      </c>
      <c r="AR17" s="73"/>
      <c r="AS17" s="103">
        <v>15</v>
      </c>
      <c r="AT17" s="75"/>
      <c r="AU17" s="73"/>
      <c r="AV17" s="71">
        <v>2</v>
      </c>
      <c r="AW17" s="75">
        <v>2</v>
      </c>
      <c r="AX17" s="71"/>
      <c r="AY17" s="73"/>
      <c r="AZ17" s="273">
        <v>5</v>
      </c>
      <c r="BA17" s="75">
        <v>1</v>
      </c>
      <c r="BB17" s="70">
        <v>3</v>
      </c>
      <c r="BC17" s="72"/>
      <c r="BD17" s="378"/>
      <c r="BE17" s="272">
        <v>3</v>
      </c>
      <c r="BF17" s="232"/>
    </row>
    <row r="18" spans="1:222" s="47" customFormat="1" ht="39.6" customHeight="1" thickBot="1" x14ac:dyDescent="0.55000000000000004">
      <c r="A18" s="14" t="s">
        <v>36</v>
      </c>
      <c r="B18" s="15" t="s">
        <v>37</v>
      </c>
      <c r="C18" s="16">
        <v>1914</v>
      </c>
      <c r="D18" s="56" t="s">
        <v>15</v>
      </c>
      <c r="E18" s="85" t="s">
        <v>135</v>
      </c>
      <c r="F18" s="271" t="s">
        <v>292</v>
      </c>
      <c r="G18" s="128">
        <v>45</v>
      </c>
      <c r="H18" s="92"/>
      <c r="I18" s="224"/>
      <c r="J18" s="92"/>
      <c r="K18" s="250">
        <v>15</v>
      </c>
      <c r="L18" s="330"/>
      <c r="M18" s="131">
        <v>6</v>
      </c>
      <c r="N18" s="224"/>
      <c r="O18" s="250">
        <v>4</v>
      </c>
      <c r="P18" s="250">
        <v>2</v>
      </c>
      <c r="Q18" s="93">
        <v>2</v>
      </c>
      <c r="R18" s="250"/>
      <c r="S18" s="250"/>
      <c r="T18" s="224"/>
      <c r="U18" s="250"/>
      <c r="V18" s="93"/>
      <c r="W18" s="250"/>
      <c r="X18" s="92"/>
      <c r="Y18" s="330"/>
      <c r="Z18" s="250"/>
      <c r="AA18" s="250"/>
      <c r="AB18" s="260"/>
      <c r="AC18" s="260"/>
      <c r="AD18" s="271" t="s">
        <v>292</v>
      </c>
      <c r="AE18" s="79">
        <v>18</v>
      </c>
      <c r="AF18" s="95">
        <v>2</v>
      </c>
      <c r="AG18" s="78"/>
      <c r="AH18" s="77">
        <v>7</v>
      </c>
      <c r="AI18" s="78">
        <v>2</v>
      </c>
      <c r="AJ18" s="96"/>
      <c r="AK18" s="79">
        <v>8</v>
      </c>
      <c r="AL18" s="95">
        <v>5</v>
      </c>
      <c r="AM18" s="78"/>
      <c r="AN18" s="79">
        <v>7</v>
      </c>
      <c r="AO18" s="78"/>
      <c r="AP18" s="95"/>
      <c r="AQ18" s="79">
        <v>2</v>
      </c>
      <c r="AR18" s="78">
        <v>1</v>
      </c>
      <c r="AS18" s="112">
        <v>10</v>
      </c>
      <c r="AT18" s="80">
        <v>1</v>
      </c>
      <c r="AU18" s="78">
        <v>1</v>
      </c>
      <c r="AV18" s="112">
        <v>4</v>
      </c>
      <c r="AW18" s="80"/>
      <c r="AX18" s="79">
        <v>3</v>
      </c>
      <c r="AY18" s="78">
        <v>3</v>
      </c>
      <c r="AZ18" s="95">
        <v>1</v>
      </c>
      <c r="BA18" s="80"/>
      <c r="BB18" s="77"/>
      <c r="BC18" s="95"/>
      <c r="BD18" s="379"/>
      <c r="BE18" s="77"/>
      <c r="BF18" s="232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</row>
    <row r="19" spans="1:222" s="118" customFormat="1" ht="36.6" customHeight="1" thickTop="1" thickBot="1" x14ac:dyDescent="0.35">
      <c r="A19" s="518" t="s">
        <v>427</v>
      </c>
      <c r="B19" s="518"/>
      <c r="C19" s="518"/>
      <c r="D19" s="519"/>
      <c r="E19" s="416" t="s">
        <v>293</v>
      </c>
      <c r="F19" s="119" t="s">
        <v>141</v>
      </c>
      <c r="G19" s="454">
        <f t="shared" ref="G19:AC19" si="0">SUM(G4:G18)</f>
        <v>259</v>
      </c>
      <c r="H19" s="437">
        <f t="shared" ref="H19" si="1">SUM(H4:H18)</f>
        <v>31</v>
      </c>
      <c r="I19" s="435">
        <f t="shared" si="0"/>
        <v>8</v>
      </c>
      <c r="J19" s="437">
        <f t="shared" ref="J19:K19" si="2">SUM(J4:J18)</f>
        <v>1</v>
      </c>
      <c r="K19" s="257">
        <f t="shared" si="2"/>
        <v>134</v>
      </c>
      <c r="L19" s="325">
        <f t="shared" ref="L19:M19" si="3">SUM(L4:L18)</f>
        <v>26</v>
      </c>
      <c r="M19" s="370">
        <f t="shared" si="3"/>
        <v>63</v>
      </c>
      <c r="N19" s="372">
        <f t="shared" ref="N19" si="4">SUM(N4:N18)</f>
        <v>23</v>
      </c>
      <c r="O19" s="449">
        <v>78</v>
      </c>
      <c r="P19" s="256">
        <f t="shared" ref="P19:S19" si="5">SUM(P4:P18)</f>
        <v>33</v>
      </c>
      <c r="Q19" s="120">
        <f t="shared" si="5"/>
        <v>6</v>
      </c>
      <c r="R19" s="452">
        <f t="shared" si="5"/>
        <v>28</v>
      </c>
      <c r="S19" s="257">
        <f t="shared" si="5"/>
        <v>16</v>
      </c>
      <c r="T19" s="371">
        <f t="shared" ref="T19" si="6">SUM(T4:T18)</f>
        <v>3</v>
      </c>
      <c r="U19" s="256">
        <f t="shared" si="0"/>
        <v>8</v>
      </c>
      <c r="V19" s="120">
        <f t="shared" si="0"/>
        <v>9</v>
      </c>
      <c r="W19" s="257">
        <f t="shared" si="0"/>
        <v>7</v>
      </c>
      <c r="X19" s="120">
        <f t="shared" ref="X19" si="7">SUM(X4:X18)</f>
        <v>4</v>
      </c>
      <c r="Y19" s="373">
        <f t="shared" ref="Y19" si="8">SUM(Y4:Y18)</f>
        <v>4</v>
      </c>
      <c r="Z19" s="444">
        <f t="shared" ref="Z19:AA19" si="9">SUM(Z4:Z18)</f>
        <v>4</v>
      </c>
      <c r="AA19" s="444">
        <f t="shared" si="9"/>
        <v>3</v>
      </c>
      <c r="AB19" s="442">
        <v>3</v>
      </c>
      <c r="AC19" s="442">
        <f t="shared" si="0"/>
        <v>1</v>
      </c>
      <c r="AD19" s="119" t="s">
        <v>141</v>
      </c>
      <c r="AE19" s="122">
        <f t="shared" ref="AE19:BE19" si="10">SUM(AE4:AE18)</f>
        <v>306</v>
      </c>
      <c r="AF19" s="121">
        <f t="shared" si="10"/>
        <v>12</v>
      </c>
      <c r="AG19" s="121">
        <f t="shared" si="10"/>
        <v>2</v>
      </c>
      <c r="AH19" s="122">
        <f t="shared" si="10"/>
        <v>269</v>
      </c>
      <c r="AI19" s="121">
        <f t="shared" si="10"/>
        <v>53</v>
      </c>
      <c r="AJ19" s="121">
        <f t="shared" si="10"/>
        <v>1</v>
      </c>
      <c r="AK19" s="122">
        <f t="shared" si="10"/>
        <v>197</v>
      </c>
      <c r="AL19" s="121">
        <f t="shared" si="10"/>
        <v>117</v>
      </c>
      <c r="AM19" s="121">
        <f t="shared" si="10"/>
        <v>2</v>
      </c>
      <c r="AN19" s="374">
        <f t="shared" ref="AN19:AO19" si="11">SUM(AN4:AN18)</f>
        <v>147</v>
      </c>
      <c r="AO19" s="121">
        <f t="shared" si="11"/>
        <v>35</v>
      </c>
      <c r="AP19" s="372">
        <f t="shared" ref="AP19" si="12">SUM(AP4:AP18)</f>
        <v>10</v>
      </c>
      <c r="AQ19" s="122">
        <f t="shared" si="10"/>
        <v>88</v>
      </c>
      <c r="AR19" s="121">
        <f t="shared" si="10"/>
        <v>36</v>
      </c>
      <c r="AS19" s="122">
        <f t="shared" si="10"/>
        <v>88</v>
      </c>
      <c r="AT19" s="121">
        <f t="shared" si="10"/>
        <v>16</v>
      </c>
      <c r="AU19" s="121">
        <f t="shared" si="10"/>
        <v>4</v>
      </c>
      <c r="AV19" s="122">
        <f t="shared" si="10"/>
        <v>28</v>
      </c>
      <c r="AW19" s="121">
        <f t="shared" si="10"/>
        <v>24</v>
      </c>
      <c r="AX19" s="122">
        <f t="shared" si="10"/>
        <v>23</v>
      </c>
      <c r="AY19" s="121">
        <f t="shared" ref="AY19:AZ19" si="13">SUM(AY4:AY18)</f>
        <v>11</v>
      </c>
      <c r="AZ19" s="121">
        <f t="shared" si="13"/>
        <v>10</v>
      </c>
      <c r="BA19" s="121">
        <f t="shared" si="10"/>
        <v>5</v>
      </c>
      <c r="BB19" s="374">
        <f t="shared" ref="BB19:BC19" si="14">SUM(BB4:BB18)</f>
        <v>21</v>
      </c>
      <c r="BC19" s="372">
        <f t="shared" si="14"/>
        <v>7</v>
      </c>
      <c r="BD19" s="375">
        <f t="shared" si="10"/>
        <v>1</v>
      </c>
      <c r="BE19" s="123">
        <f t="shared" si="10"/>
        <v>7</v>
      </c>
      <c r="BF19" s="232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</row>
    <row r="20" spans="1:222" s="124" customFormat="1" ht="50.4" customHeight="1" thickTop="1" thickBot="1" x14ac:dyDescent="0.4">
      <c r="A20" s="380" t="s">
        <v>428</v>
      </c>
      <c r="B20" s="380"/>
      <c r="C20" s="380"/>
      <c r="D20" s="381"/>
      <c r="E20" s="417"/>
      <c r="F20" s="125" t="s">
        <v>140</v>
      </c>
      <c r="G20" s="455"/>
      <c r="H20" s="438"/>
      <c r="I20" s="436"/>
      <c r="J20" s="438"/>
      <c r="K20" s="433">
        <v>160</v>
      </c>
      <c r="L20" s="434"/>
      <c r="M20" s="448">
        <v>86</v>
      </c>
      <c r="N20" s="448"/>
      <c r="O20" s="450"/>
      <c r="P20" s="439">
        <v>39</v>
      </c>
      <c r="Q20" s="441"/>
      <c r="R20" s="453"/>
      <c r="S20" s="439">
        <v>19</v>
      </c>
      <c r="T20" s="441"/>
      <c r="U20" s="439">
        <v>17</v>
      </c>
      <c r="V20" s="441"/>
      <c r="W20" s="439">
        <v>15</v>
      </c>
      <c r="X20" s="441"/>
      <c r="Y20" s="440"/>
      <c r="Z20" s="445"/>
      <c r="AA20" s="445"/>
      <c r="AB20" s="443"/>
      <c r="AC20" s="443"/>
      <c r="AD20" s="125" t="s">
        <v>140</v>
      </c>
      <c r="AE20" s="439">
        <v>320</v>
      </c>
      <c r="AF20" s="441"/>
      <c r="AG20" s="440"/>
      <c r="AH20" s="439">
        <v>323</v>
      </c>
      <c r="AI20" s="441"/>
      <c r="AJ20" s="440"/>
      <c r="AK20" s="439">
        <v>316</v>
      </c>
      <c r="AL20" s="441"/>
      <c r="AM20" s="441"/>
      <c r="AN20" s="439">
        <v>192</v>
      </c>
      <c r="AO20" s="441"/>
      <c r="AP20" s="441"/>
      <c r="AQ20" s="439">
        <v>124</v>
      </c>
      <c r="AR20" s="440"/>
      <c r="AS20" s="439">
        <v>108</v>
      </c>
      <c r="AT20" s="441"/>
      <c r="AU20" s="440"/>
      <c r="AV20" s="439">
        <v>52</v>
      </c>
      <c r="AW20" s="440"/>
      <c r="AX20" s="439">
        <v>49</v>
      </c>
      <c r="AY20" s="441"/>
      <c r="AZ20" s="441"/>
      <c r="BA20" s="441"/>
      <c r="BB20" s="439">
        <v>29</v>
      </c>
      <c r="BC20" s="441"/>
      <c r="BD20" s="440"/>
      <c r="BE20" s="126">
        <v>7</v>
      </c>
      <c r="BF20" s="232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</row>
    <row r="21" spans="1:222" ht="15" customHeight="1" thickTop="1" x14ac:dyDescent="0.3">
      <c r="F21" s="266"/>
    </row>
    <row r="22" spans="1:222" ht="15" customHeight="1" x14ac:dyDescent="0.3"/>
  </sheetData>
  <mergeCells count="61">
    <mergeCell ref="A1:E1"/>
    <mergeCell ref="AE1:BE1"/>
    <mergeCell ref="A2:A3"/>
    <mergeCell ref="B2:B3"/>
    <mergeCell ref="C2:C3"/>
    <mergeCell ref="E2:E3"/>
    <mergeCell ref="AE2:AG2"/>
    <mergeCell ref="AK2:AM2"/>
    <mergeCell ref="AQ2:AR2"/>
    <mergeCell ref="AS2:AU2"/>
    <mergeCell ref="G1:AC1"/>
    <mergeCell ref="BE2:BE3"/>
    <mergeCell ref="AH2:AJ2"/>
    <mergeCell ref="AV2:AW2"/>
    <mergeCell ref="BB2:BD2"/>
    <mergeCell ref="D2:D3"/>
    <mergeCell ref="AA2:AA3"/>
    <mergeCell ref="AX2:BA2"/>
    <mergeCell ref="M20:N20"/>
    <mergeCell ref="M2:N2"/>
    <mergeCell ref="O19:O20"/>
    <mergeCell ref="R2:R3"/>
    <mergeCell ref="W20:Y20"/>
    <mergeCell ref="W2:Y2"/>
    <mergeCell ref="R19:R20"/>
    <mergeCell ref="P20:Q20"/>
    <mergeCell ref="S20:T20"/>
    <mergeCell ref="U2:V2"/>
    <mergeCell ref="K2:L2"/>
    <mergeCell ref="G19:G20"/>
    <mergeCell ref="E19:E20"/>
    <mergeCell ref="BB20:BD20"/>
    <mergeCell ref="AH20:AJ20"/>
    <mergeCell ref="AK20:AM20"/>
    <mergeCell ref="AN20:AP20"/>
    <mergeCell ref="AQ20:AR20"/>
    <mergeCell ref="AS20:AU20"/>
    <mergeCell ref="AX20:BA20"/>
    <mergeCell ref="K20:L20"/>
    <mergeCell ref="I19:I20"/>
    <mergeCell ref="J19:J20"/>
    <mergeCell ref="AV20:AW20"/>
    <mergeCell ref="U20:V20"/>
    <mergeCell ref="AB19:AB20"/>
    <mergeCell ref="AC19:AC20"/>
    <mergeCell ref="AA19:AA20"/>
    <mergeCell ref="Z19:Z20"/>
    <mergeCell ref="AE20:AG20"/>
    <mergeCell ref="H19:H20"/>
    <mergeCell ref="A19:D19"/>
    <mergeCell ref="A20:D20"/>
    <mergeCell ref="AN2:AP2"/>
    <mergeCell ref="F1:F3"/>
    <mergeCell ref="AD1:AD3"/>
    <mergeCell ref="G2:J2"/>
    <mergeCell ref="P2:Q2"/>
    <mergeCell ref="O2:O3"/>
    <mergeCell ref="AC2:AC3"/>
    <mergeCell ref="S2:T2"/>
    <mergeCell ref="AB2:AB3"/>
    <mergeCell ref="Z2:Z3"/>
  </mergeCells>
  <conditionalFormatting sqref="A4:A11 A13 A15:A18">
    <cfRule type="colorScale" priority="2">
      <colorScale>
        <cfvo type="min"/>
        <cfvo type="max"/>
        <color rgb="FF63BE7B"/>
        <color rgb="FFFCFCFF"/>
      </colorScale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{68D0A5D1-54A8-4321-A776-12969B8BF207}</x14:id>
        </ext>
      </extLst>
    </cfRule>
  </conditionalFormatting>
  <hyperlinks>
    <hyperlink ref="D18" r:id="rId1" display="https://archive.org/details/throughspainreco00dickrich/page/n13/mode/2up" xr:uid="{00D58A56-C05D-4F28-AE39-0765A38E7557}"/>
    <hyperlink ref="D17" r:id="rId2" display="https://www.gutenberg.org/ebooks/7430" xr:uid="{976799EB-EE2E-41AE-A804-068786709E0F}"/>
    <hyperlink ref="D16" r:id="rId3" display="https://www.gutenberg.org/ebooks/40201" xr:uid="{1184C8E8-CD00-40B1-B785-4479C6148793}"/>
    <hyperlink ref="D10" r:id="rId4" display="https://archive.org/details/sunshadowinspain00elliuoft" xr:uid="{E6265CA6-B6A2-497C-A6BB-FC549E6805DA}"/>
    <hyperlink ref="D8" r:id="rId5" display="https://www.gutenberg.org/ebooks/27252" xr:uid="{4C916A8C-83A1-4CE5-8FCE-F4899EA4EA5E}"/>
    <hyperlink ref="D7" r:id="rId6" display="https://archive.org/details/atrampinspain00unkngoog/page/n8/mode/2up" xr:uid="{7CB03FBB-C2A1-450E-A993-C3E5E7F5BEA0}"/>
    <hyperlink ref="D6" r:id="rId7" display="https://www.gutenberg.org/ebooks/59944" xr:uid="{D427B5FC-4C71-4EE0-B6B1-1A77CD1BAABD}"/>
    <hyperlink ref="D4" r:id="rId8" display="https://www.gutenberg.org/ebooks/38767" xr:uid="{D8C2F8C7-BC7F-45FC-9ABC-563E2AC7152D}"/>
    <hyperlink ref="D9" r:id="rId9" display="https://www.gutenberg.org/ebooks/37944" xr:uid="{C2570753-1D19-4BDE-B281-42472877775D}"/>
    <hyperlink ref="D13" r:id="rId10" display="https://www.gutenberg.org/ebooks/41593" xr:uid="{740929AC-81F7-4200-817B-6CE71F449016}"/>
    <hyperlink ref="D11" r:id="rId11" display="https://www.gutenberg.org/ebooks/40356" xr:uid="{2799A9FF-CE82-469F-BF61-883E6D528354}"/>
    <hyperlink ref="D5" r:id="rId12" display="https://archive.org/details/landofdons00will/page/n19/mode/2up" xr:uid="{A191E602-8F94-4BFD-9D97-843FEB5B3F67}"/>
    <hyperlink ref="D15" r:id="rId13" display="https://www.gutenberg.org/ebooks/40357" xr:uid="{F8D74BE4-01EF-4E59-BD05-399E10D1159A}"/>
    <hyperlink ref="D12" r:id="rId14" display="https://archive.org/details/spainoftodaynarr00shaw/page/n11/mode/2up" xr:uid="{C8DBB84E-712C-421F-A2D5-4F6BBF72A106}"/>
    <hyperlink ref="D14" r:id="rId15" display="https://www.gutenberg.org/ebooks/author/39917" xr:uid="{F0810F31-2A0E-486E-A06C-C72C05F319AC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D0A5D1-54A8-4321-A776-12969B8BF2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A4:A11 A13 A15:A18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78CF-D488-4A3A-B664-FD514517477C}">
  <dimension ref="A1:BM69"/>
  <sheetViews>
    <sheetView zoomScale="50" zoomScaleNormal="50" workbookViewId="0">
      <selection activeCell="A7" sqref="A7"/>
    </sheetView>
  </sheetViews>
  <sheetFormatPr baseColWidth="10" defaultColWidth="8.88671875" defaultRowHeight="15.6" x14ac:dyDescent="0.3"/>
  <cols>
    <col min="1" max="1" width="79" customWidth="1"/>
    <col min="2" max="2" width="61.77734375" customWidth="1"/>
    <col min="3" max="3" width="26.88671875" customWidth="1"/>
    <col min="4" max="4" width="25.6640625" customWidth="1"/>
    <col min="5" max="5" width="30.109375" customWidth="1"/>
    <col min="6" max="6" width="33.21875" customWidth="1"/>
    <col min="7" max="7" width="15.88671875" customWidth="1"/>
    <col min="8" max="8" width="14.5546875" style="232" customWidth="1"/>
    <col min="9" max="9" width="11.6640625" style="232" customWidth="1"/>
    <col min="10" max="10" width="11.6640625" customWidth="1"/>
    <col min="11" max="11" width="17.77734375" style="232" customWidth="1"/>
    <col min="12" max="12" width="19.33203125" style="232" customWidth="1"/>
    <col min="13" max="13" width="22.88671875" style="232" customWidth="1"/>
    <col min="14" max="14" width="33.21875" customWidth="1"/>
    <col min="15" max="15" width="10.6640625" style="24" customWidth="1"/>
    <col min="16" max="16" width="10.44140625" style="24" customWidth="1"/>
    <col min="17" max="17" width="12" style="24" customWidth="1"/>
    <col min="18" max="18" width="13.5546875" style="24" customWidth="1"/>
    <col min="19" max="19" width="13.77734375" customWidth="1"/>
    <col min="20" max="20" width="9.77734375" customWidth="1"/>
    <col min="21" max="21" width="9.33203125" customWidth="1"/>
    <col min="22" max="22" width="8.44140625" customWidth="1"/>
    <col min="23" max="24" width="8.6640625" customWidth="1"/>
    <col min="25" max="25" width="10.109375" customWidth="1"/>
    <col min="26" max="26" width="9.6640625" customWidth="1"/>
    <col min="27" max="27" width="11.88671875" customWidth="1"/>
    <col min="28" max="28" width="10.5546875" customWidth="1"/>
    <col min="29" max="29" width="12.5546875" customWidth="1"/>
    <col min="30" max="31" width="12.33203125" customWidth="1"/>
    <col min="32" max="34" width="11.109375" customWidth="1"/>
    <col min="35" max="35" width="11" customWidth="1"/>
    <col min="36" max="36" width="11.44140625" customWidth="1"/>
    <col min="37" max="37" width="10.77734375" customWidth="1"/>
    <col min="38" max="38" width="11.109375" customWidth="1"/>
    <col min="39" max="39" width="10.21875" customWidth="1"/>
    <col min="40" max="42" width="9" customWidth="1"/>
    <col min="43" max="43" width="14.6640625" customWidth="1"/>
    <col min="44" max="44" width="18.88671875" customWidth="1"/>
    <col min="45" max="45" width="13.109375" customWidth="1"/>
    <col min="46" max="46" width="12.6640625" customWidth="1"/>
    <col min="47" max="48" width="10.6640625" customWidth="1"/>
    <col min="49" max="49" width="10.77734375" customWidth="1"/>
    <col min="50" max="50" width="15.77734375" customWidth="1"/>
    <col min="51" max="51" width="12.44140625" customWidth="1"/>
    <col min="52" max="52" width="13.33203125" customWidth="1"/>
    <col min="53" max="53" width="16.44140625" customWidth="1"/>
    <col min="54" max="54" width="12.44140625" customWidth="1"/>
    <col min="55" max="55" width="17.33203125" customWidth="1"/>
  </cols>
  <sheetData>
    <row r="1" spans="1:56" s="156" customFormat="1" ht="42.6" customHeight="1" thickBot="1" x14ac:dyDescent="0.55000000000000004">
      <c r="A1" s="456" t="s">
        <v>0</v>
      </c>
      <c r="B1" s="456"/>
      <c r="C1" s="456"/>
      <c r="D1" s="457"/>
      <c r="E1" s="480" t="s">
        <v>172</v>
      </c>
      <c r="F1" s="398" t="s">
        <v>294</v>
      </c>
      <c r="G1" s="484" t="s">
        <v>142</v>
      </c>
      <c r="H1" s="485"/>
      <c r="I1" s="485"/>
      <c r="J1" s="485"/>
      <c r="K1" s="485"/>
      <c r="L1" s="485"/>
      <c r="M1" s="485"/>
      <c r="N1" s="398" t="s">
        <v>294</v>
      </c>
      <c r="O1" s="472" t="s">
        <v>109</v>
      </c>
      <c r="P1" s="473"/>
      <c r="Q1" s="473"/>
      <c r="R1" s="473"/>
      <c r="S1" s="473"/>
      <c r="T1" s="473"/>
      <c r="U1" s="473"/>
      <c r="V1" s="473"/>
      <c r="W1" s="473"/>
      <c r="X1" s="473"/>
      <c r="Y1" s="473"/>
      <c r="Z1" s="473"/>
      <c r="AA1" s="473"/>
      <c r="AB1" s="473"/>
      <c r="AC1" s="473"/>
      <c r="AD1" s="473"/>
      <c r="AE1" s="473"/>
      <c r="AF1" s="473"/>
      <c r="AG1" s="473"/>
      <c r="AH1" s="473"/>
      <c r="AI1" s="473"/>
      <c r="AJ1" s="473"/>
      <c r="AK1" s="473"/>
      <c r="AL1" s="473"/>
      <c r="AM1" s="473"/>
      <c r="AN1" s="473"/>
      <c r="AO1" s="473"/>
      <c r="AP1" s="473"/>
      <c r="AQ1" s="473"/>
      <c r="AR1" s="473"/>
      <c r="AS1" s="473"/>
      <c r="AT1" s="473"/>
      <c r="AU1" s="473"/>
      <c r="AV1" s="473"/>
      <c r="AW1" s="473"/>
      <c r="AX1" s="473"/>
      <c r="AY1" s="473"/>
      <c r="AZ1" s="473"/>
      <c r="BA1" s="473"/>
      <c r="BB1" s="473"/>
      <c r="BC1" s="473"/>
      <c r="BD1" s="267"/>
    </row>
    <row r="2" spans="1:56" s="295" customFormat="1" ht="34.799999999999997" customHeight="1" thickTop="1" x14ac:dyDescent="0.3">
      <c r="A2" s="460" t="s">
        <v>1</v>
      </c>
      <c r="B2" s="462" t="s">
        <v>2</v>
      </c>
      <c r="C2" s="462" t="s">
        <v>3</v>
      </c>
      <c r="D2" s="482" t="s">
        <v>4</v>
      </c>
      <c r="E2" s="480"/>
      <c r="F2" s="399"/>
      <c r="G2" s="388" t="s">
        <v>394</v>
      </c>
      <c r="H2" s="388" t="s">
        <v>395</v>
      </c>
      <c r="I2" s="384" t="s">
        <v>396</v>
      </c>
      <c r="J2" s="395"/>
      <c r="K2" s="486" t="s">
        <v>397</v>
      </c>
      <c r="L2" s="486" t="s">
        <v>398</v>
      </c>
      <c r="M2" s="488" t="s">
        <v>399</v>
      </c>
      <c r="N2" s="399"/>
      <c r="O2" s="469" t="s">
        <v>400</v>
      </c>
      <c r="P2" s="470"/>
      <c r="Q2" s="470"/>
      <c r="R2" s="470"/>
      <c r="S2" s="471"/>
      <c r="T2" s="469" t="s">
        <v>401</v>
      </c>
      <c r="U2" s="470"/>
      <c r="V2" s="470"/>
      <c r="W2" s="469" t="s">
        <v>402</v>
      </c>
      <c r="X2" s="470"/>
      <c r="Y2" s="471"/>
      <c r="Z2" s="469" t="s">
        <v>403</v>
      </c>
      <c r="AA2" s="470"/>
      <c r="AB2" s="470"/>
      <c r="AC2" s="470"/>
      <c r="AD2" s="470"/>
      <c r="AE2" s="469" t="s">
        <v>404</v>
      </c>
      <c r="AF2" s="470"/>
      <c r="AG2" s="469" t="s">
        <v>405</v>
      </c>
      <c r="AH2" s="470"/>
      <c r="AI2" s="471"/>
      <c r="AJ2" s="469" t="s">
        <v>406</v>
      </c>
      <c r="AK2" s="470"/>
      <c r="AL2" s="470"/>
      <c r="AM2" s="469" t="s">
        <v>407</v>
      </c>
      <c r="AN2" s="470"/>
      <c r="AO2" s="469" t="s">
        <v>408</v>
      </c>
      <c r="AP2" s="470"/>
      <c r="AQ2" s="470"/>
      <c r="AR2" s="414" t="s">
        <v>409</v>
      </c>
      <c r="AS2" s="469" t="s">
        <v>410</v>
      </c>
      <c r="AT2" s="470"/>
      <c r="AU2" s="470"/>
      <c r="AV2" s="384" t="s">
        <v>411</v>
      </c>
      <c r="AW2" s="395"/>
      <c r="AX2" s="467" t="s">
        <v>412</v>
      </c>
      <c r="AY2" s="414" t="s">
        <v>413</v>
      </c>
      <c r="AZ2" s="384" t="s">
        <v>414</v>
      </c>
      <c r="BA2" s="395"/>
      <c r="BB2" s="414" t="s">
        <v>415</v>
      </c>
      <c r="BC2" s="388" t="s">
        <v>416</v>
      </c>
      <c r="BD2" s="297"/>
    </row>
    <row r="3" spans="1:56" s="295" customFormat="1" ht="37.200000000000003" customHeight="1" thickBot="1" x14ac:dyDescent="0.35">
      <c r="A3" s="461"/>
      <c r="B3" s="463"/>
      <c r="C3" s="463"/>
      <c r="D3" s="483"/>
      <c r="E3" s="481"/>
      <c r="F3" s="400"/>
      <c r="G3" s="389"/>
      <c r="H3" s="389"/>
      <c r="I3" s="282" t="s">
        <v>150</v>
      </c>
      <c r="J3" s="284" t="s">
        <v>144</v>
      </c>
      <c r="K3" s="487"/>
      <c r="L3" s="487"/>
      <c r="M3" s="489"/>
      <c r="N3" s="400"/>
      <c r="O3" s="293" t="s">
        <v>84</v>
      </c>
      <c r="P3" s="294" t="s">
        <v>87</v>
      </c>
      <c r="Q3" s="294" t="s">
        <v>97</v>
      </c>
      <c r="R3" s="294" t="s">
        <v>100</v>
      </c>
      <c r="S3" s="294" t="s">
        <v>44</v>
      </c>
      <c r="T3" s="279" t="s">
        <v>85</v>
      </c>
      <c r="U3" s="283" t="s">
        <v>86</v>
      </c>
      <c r="V3" s="283" t="s">
        <v>43</v>
      </c>
      <c r="W3" s="279" t="s">
        <v>88</v>
      </c>
      <c r="X3" s="283" t="s">
        <v>98</v>
      </c>
      <c r="Y3" s="284" t="s">
        <v>45</v>
      </c>
      <c r="Z3" s="279" t="s">
        <v>91</v>
      </c>
      <c r="AA3" s="280" t="s">
        <v>148</v>
      </c>
      <c r="AB3" s="283" t="s">
        <v>92</v>
      </c>
      <c r="AC3" s="283" t="s">
        <v>49</v>
      </c>
      <c r="AD3" s="283" t="s">
        <v>149</v>
      </c>
      <c r="AE3" s="279" t="s">
        <v>90</v>
      </c>
      <c r="AF3" s="284" t="s">
        <v>50</v>
      </c>
      <c r="AG3" s="279" t="s">
        <v>102</v>
      </c>
      <c r="AH3" s="283" t="s">
        <v>151</v>
      </c>
      <c r="AI3" s="296" t="s">
        <v>153</v>
      </c>
      <c r="AJ3" s="279" t="s">
        <v>101</v>
      </c>
      <c r="AK3" s="283" t="s">
        <v>145</v>
      </c>
      <c r="AL3" s="284" t="s">
        <v>42</v>
      </c>
      <c r="AM3" s="279" t="s">
        <v>94</v>
      </c>
      <c r="AN3" s="284" t="s">
        <v>166</v>
      </c>
      <c r="AO3" s="279" t="s">
        <v>99</v>
      </c>
      <c r="AP3" s="284" t="s">
        <v>103</v>
      </c>
      <c r="AQ3" s="284" t="s">
        <v>48</v>
      </c>
      <c r="AR3" s="415"/>
      <c r="AS3" s="279" t="s">
        <v>89</v>
      </c>
      <c r="AT3" s="281" t="s">
        <v>146</v>
      </c>
      <c r="AU3" s="284" t="s">
        <v>52</v>
      </c>
      <c r="AV3" s="282" t="s">
        <v>46</v>
      </c>
      <c r="AW3" s="52" t="s">
        <v>162</v>
      </c>
      <c r="AX3" s="468"/>
      <c r="AY3" s="415"/>
      <c r="AZ3" s="282" t="s">
        <v>96</v>
      </c>
      <c r="BA3" s="282" t="s">
        <v>154</v>
      </c>
      <c r="BB3" s="415"/>
      <c r="BC3" s="389"/>
      <c r="BD3" s="297"/>
    </row>
    <row r="4" spans="1:56" ht="38.4" customHeight="1" thickTop="1" x14ac:dyDescent="0.5">
      <c r="A4" s="9" t="s">
        <v>5</v>
      </c>
      <c r="B4" s="10" t="s">
        <v>6</v>
      </c>
      <c r="C4" s="11">
        <v>1900</v>
      </c>
      <c r="D4" s="53" t="s">
        <v>7</v>
      </c>
      <c r="E4" s="84" t="s">
        <v>143</v>
      </c>
      <c r="F4" s="265" t="s">
        <v>295</v>
      </c>
      <c r="G4" s="151">
        <v>6</v>
      </c>
      <c r="H4" s="151">
        <v>3</v>
      </c>
      <c r="I4" s="63"/>
      <c r="J4" s="287">
        <v>5</v>
      </c>
      <c r="K4" s="63">
        <v>1</v>
      </c>
      <c r="L4" s="63"/>
      <c r="M4" s="288"/>
      <c r="N4" s="265" t="s">
        <v>295</v>
      </c>
      <c r="O4" s="138">
        <v>24</v>
      </c>
      <c r="P4" s="33">
        <v>10</v>
      </c>
      <c r="Q4" s="33">
        <v>2</v>
      </c>
      <c r="R4" s="34">
        <v>1</v>
      </c>
      <c r="S4" s="50">
        <v>1</v>
      </c>
      <c r="T4" s="175">
        <v>22</v>
      </c>
      <c r="U4" s="11">
        <v>16</v>
      </c>
      <c r="V4" s="11"/>
      <c r="W4" s="9">
        <v>8</v>
      </c>
      <c r="X4" s="11">
        <v>2</v>
      </c>
      <c r="Y4" s="32"/>
      <c r="Z4" s="9">
        <v>5</v>
      </c>
      <c r="AA4" s="139">
        <v>2</v>
      </c>
      <c r="AB4" s="11">
        <v>5</v>
      </c>
      <c r="AC4" s="11">
        <v>2</v>
      </c>
      <c r="AD4" s="11"/>
      <c r="AE4" s="9">
        <v>6</v>
      </c>
      <c r="AF4" s="32">
        <v>14</v>
      </c>
      <c r="AG4" s="9">
        <v>1</v>
      </c>
      <c r="AH4" s="11"/>
      <c r="AI4" s="50"/>
      <c r="AJ4" s="9">
        <v>1</v>
      </c>
      <c r="AK4" s="11"/>
      <c r="AL4" s="32"/>
      <c r="AM4" s="9">
        <v>4</v>
      </c>
      <c r="AN4" s="32"/>
      <c r="AO4" s="9">
        <v>2</v>
      </c>
      <c r="AP4" s="32">
        <v>1</v>
      </c>
      <c r="AQ4" s="32"/>
      <c r="AR4" s="63">
        <v>3</v>
      </c>
      <c r="AS4" s="175">
        <v>8</v>
      </c>
      <c r="AT4" s="146"/>
      <c r="AU4" s="32">
        <v>1</v>
      </c>
      <c r="AV4" s="63"/>
      <c r="AW4" s="50"/>
      <c r="AX4" s="152">
        <v>4</v>
      </c>
      <c r="AY4" s="63"/>
      <c r="AZ4" s="152">
        <v>3</v>
      </c>
      <c r="BA4" s="63"/>
      <c r="BB4" s="63">
        <v>1</v>
      </c>
      <c r="BC4" s="63"/>
      <c r="BD4" s="232"/>
    </row>
    <row r="5" spans="1:56" ht="31.2" customHeight="1" x14ac:dyDescent="0.5">
      <c r="A5" s="13" t="s">
        <v>8</v>
      </c>
      <c r="B5" s="3" t="s">
        <v>9</v>
      </c>
      <c r="C5" s="2">
        <v>1902</v>
      </c>
      <c r="D5" s="54" t="s">
        <v>10</v>
      </c>
      <c r="E5" s="85" t="s">
        <v>147</v>
      </c>
      <c r="F5" s="263" t="s">
        <v>299</v>
      </c>
      <c r="G5" s="29"/>
      <c r="H5" s="29"/>
      <c r="I5" s="29"/>
      <c r="J5" s="28"/>
      <c r="K5" s="29"/>
      <c r="L5" s="29"/>
      <c r="M5" s="289"/>
      <c r="N5" s="263" t="s">
        <v>299</v>
      </c>
      <c r="O5" s="61">
        <v>4</v>
      </c>
      <c r="P5" s="35">
        <v>1</v>
      </c>
      <c r="Q5" s="35"/>
      <c r="R5" s="36">
        <v>1</v>
      </c>
      <c r="S5" s="30">
        <v>1</v>
      </c>
      <c r="T5" s="13">
        <v>9</v>
      </c>
      <c r="U5" s="2">
        <v>4</v>
      </c>
      <c r="V5" s="2">
        <v>2</v>
      </c>
      <c r="W5" s="13">
        <v>6</v>
      </c>
      <c r="X5" s="2">
        <v>2</v>
      </c>
      <c r="Y5" s="28">
        <v>1</v>
      </c>
      <c r="Z5" s="13">
        <v>1</v>
      </c>
      <c r="AA5" s="31">
        <v>1</v>
      </c>
      <c r="AB5" s="2"/>
      <c r="AC5" s="2"/>
      <c r="AD5" s="2"/>
      <c r="AE5" s="13"/>
      <c r="AF5" s="28">
        <v>6</v>
      </c>
      <c r="AG5" s="13">
        <v>2</v>
      </c>
      <c r="AH5" s="2"/>
      <c r="AI5" s="30"/>
      <c r="AJ5" s="13">
        <v>1</v>
      </c>
      <c r="AK5" s="2">
        <v>3</v>
      </c>
      <c r="AL5" s="28">
        <v>1</v>
      </c>
      <c r="AM5" s="13"/>
      <c r="AN5" s="28"/>
      <c r="AO5" s="13"/>
      <c r="AP5" s="28"/>
      <c r="AQ5" s="28"/>
      <c r="AR5" s="29">
        <v>2</v>
      </c>
      <c r="AS5" s="13">
        <v>1</v>
      </c>
      <c r="AT5" s="147">
        <v>1</v>
      </c>
      <c r="AU5" s="28"/>
      <c r="AV5" s="29"/>
      <c r="AW5" s="30">
        <v>1</v>
      </c>
      <c r="AX5" s="29"/>
      <c r="AY5" s="29"/>
      <c r="AZ5" s="29"/>
      <c r="BA5" s="29"/>
      <c r="BB5" s="29"/>
      <c r="BC5" s="29"/>
      <c r="BD5" s="232"/>
    </row>
    <row r="6" spans="1:56" ht="37.799999999999997" customHeight="1" x14ac:dyDescent="0.5">
      <c r="A6" s="13" t="s">
        <v>11</v>
      </c>
      <c r="B6" s="3" t="s">
        <v>12</v>
      </c>
      <c r="C6" s="2">
        <v>1903</v>
      </c>
      <c r="D6" s="55" t="s">
        <v>7</v>
      </c>
      <c r="E6" s="85" t="s">
        <v>152</v>
      </c>
      <c r="F6" s="263" t="s">
        <v>297</v>
      </c>
      <c r="G6" s="29">
        <v>1</v>
      </c>
      <c r="H6" s="29"/>
      <c r="I6" s="29">
        <v>2</v>
      </c>
      <c r="J6" s="28"/>
      <c r="K6" s="29"/>
      <c r="L6" s="29"/>
      <c r="M6" s="289">
        <v>1</v>
      </c>
      <c r="N6" s="263" t="s">
        <v>297</v>
      </c>
      <c r="O6" s="61">
        <v>9</v>
      </c>
      <c r="P6" s="35">
        <v>13</v>
      </c>
      <c r="Q6" s="35">
        <v>1</v>
      </c>
      <c r="R6" s="36">
        <v>1</v>
      </c>
      <c r="S6" s="30"/>
      <c r="T6" s="174">
        <v>22</v>
      </c>
      <c r="U6" s="2">
        <v>3</v>
      </c>
      <c r="V6" s="2">
        <v>1</v>
      </c>
      <c r="W6" s="13">
        <v>17</v>
      </c>
      <c r="X6" s="2">
        <v>4</v>
      </c>
      <c r="Y6" s="28">
        <v>2</v>
      </c>
      <c r="Z6" s="13">
        <v>6</v>
      </c>
      <c r="AA6" s="184">
        <v>4</v>
      </c>
      <c r="AB6" s="178">
        <v>9</v>
      </c>
      <c r="AC6" s="2">
        <v>4</v>
      </c>
      <c r="AD6" s="2">
        <v>3</v>
      </c>
      <c r="AE6" s="13">
        <v>4</v>
      </c>
      <c r="AF6" s="28">
        <v>2</v>
      </c>
      <c r="AG6" s="13">
        <v>3</v>
      </c>
      <c r="AH6" s="2">
        <v>1</v>
      </c>
      <c r="AI6" s="30"/>
      <c r="AJ6" s="13">
        <v>7</v>
      </c>
      <c r="AK6" s="2">
        <v>3</v>
      </c>
      <c r="AL6" s="28"/>
      <c r="AM6" s="13">
        <v>9</v>
      </c>
      <c r="AN6" s="28"/>
      <c r="AO6" s="13"/>
      <c r="AP6" s="28">
        <v>2</v>
      </c>
      <c r="AQ6" s="28"/>
      <c r="AR6" s="29"/>
      <c r="AS6" s="13">
        <v>2</v>
      </c>
      <c r="AT6" s="147"/>
      <c r="AU6" s="28"/>
      <c r="AV6" s="29"/>
      <c r="AW6" s="30"/>
      <c r="AX6" s="29">
        <v>1</v>
      </c>
      <c r="AY6" s="29"/>
      <c r="AZ6" s="29"/>
      <c r="BA6" s="29"/>
      <c r="BB6" s="29">
        <v>1</v>
      </c>
      <c r="BC6" s="29">
        <v>1</v>
      </c>
      <c r="BD6" s="232"/>
    </row>
    <row r="7" spans="1:56" ht="33.6" customHeight="1" x14ac:dyDescent="0.5">
      <c r="A7" s="13" t="s">
        <v>13</v>
      </c>
      <c r="B7" s="3" t="s">
        <v>14</v>
      </c>
      <c r="C7" s="2">
        <v>1904</v>
      </c>
      <c r="D7" s="55" t="s">
        <v>15</v>
      </c>
      <c r="E7" s="85" t="s">
        <v>155</v>
      </c>
      <c r="F7" s="263" t="s">
        <v>300</v>
      </c>
      <c r="G7" s="29">
        <v>3</v>
      </c>
      <c r="H7" s="29">
        <v>1</v>
      </c>
      <c r="I7" s="29"/>
      <c r="J7" s="28"/>
      <c r="K7" s="210">
        <v>4</v>
      </c>
      <c r="L7" s="29"/>
      <c r="M7" s="289"/>
      <c r="N7" s="263" t="s">
        <v>300</v>
      </c>
      <c r="O7" s="61">
        <v>6</v>
      </c>
      <c r="P7" s="35">
        <v>5</v>
      </c>
      <c r="Q7" s="35">
        <v>1</v>
      </c>
      <c r="R7" s="36"/>
      <c r="S7" s="30"/>
      <c r="T7" s="13">
        <v>15</v>
      </c>
      <c r="U7" s="2">
        <v>19</v>
      </c>
      <c r="V7" s="178">
        <v>6</v>
      </c>
      <c r="W7" s="13">
        <v>38</v>
      </c>
      <c r="X7" s="2">
        <v>3</v>
      </c>
      <c r="Y7" s="28"/>
      <c r="Z7" s="174">
        <v>19</v>
      </c>
      <c r="AA7" s="184">
        <v>4</v>
      </c>
      <c r="AB7" s="2">
        <v>3</v>
      </c>
      <c r="AC7" s="2">
        <v>6</v>
      </c>
      <c r="AD7" s="2">
        <v>1</v>
      </c>
      <c r="AE7" s="13">
        <v>6</v>
      </c>
      <c r="AF7" s="186">
        <v>23</v>
      </c>
      <c r="AG7" s="187">
        <v>14</v>
      </c>
      <c r="AH7" s="2">
        <v>2</v>
      </c>
      <c r="AI7" s="30">
        <v>1</v>
      </c>
      <c r="AJ7" s="13">
        <v>3</v>
      </c>
      <c r="AK7" s="2"/>
      <c r="AL7" s="28"/>
      <c r="AM7" s="174">
        <v>10</v>
      </c>
      <c r="AN7" s="28"/>
      <c r="AO7" s="13"/>
      <c r="AP7" s="28">
        <v>2</v>
      </c>
      <c r="AQ7" s="28"/>
      <c r="AR7" s="29"/>
      <c r="AS7" s="13">
        <v>3</v>
      </c>
      <c r="AT7" s="147"/>
      <c r="AU7" s="28">
        <v>1</v>
      </c>
      <c r="AV7" s="29"/>
      <c r="AW7" s="30"/>
      <c r="AX7" s="29"/>
      <c r="AY7" s="191">
        <v>9</v>
      </c>
      <c r="AZ7" s="29"/>
      <c r="BA7" s="29">
        <v>1</v>
      </c>
      <c r="BB7" s="29">
        <v>1</v>
      </c>
      <c r="BC7" s="29">
        <v>2</v>
      </c>
      <c r="BD7" s="232"/>
    </row>
    <row r="8" spans="1:56" ht="37.799999999999997" customHeight="1" thickBot="1" x14ac:dyDescent="0.55000000000000004">
      <c r="A8" s="14" t="s">
        <v>16</v>
      </c>
      <c r="B8" s="15" t="s">
        <v>17</v>
      </c>
      <c r="C8" s="16">
        <v>1905</v>
      </c>
      <c r="D8" s="56" t="s">
        <v>7</v>
      </c>
      <c r="E8" s="85" t="s">
        <v>156</v>
      </c>
      <c r="F8" s="264" t="s">
        <v>296</v>
      </c>
      <c r="G8" s="157">
        <v>10</v>
      </c>
      <c r="H8" s="45">
        <v>1</v>
      </c>
      <c r="I8" s="45"/>
      <c r="J8" s="37"/>
      <c r="K8" s="45">
        <v>1</v>
      </c>
      <c r="L8" s="45"/>
      <c r="M8" s="290"/>
      <c r="N8" s="264" t="s">
        <v>296</v>
      </c>
      <c r="O8" s="62">
        <v>18</v>
      </c>
      <c r="P8" s="168">
        <v>39</v>
      </c>
      <c r="Q8" s="38">
        <v>1</v>
      </c>
      <c r="R8" s="39">
        <v>1</v>
      </c>
      <c r="S8" s="46">
        <v>1</v>
      </c>
      <c r="T8" s="176">
        <v>31</v>
      </c>
      <c r="U8" s="177">
        <v>22</v>
      </c>
      <c r="V8" s="16">
        <v>4</v>
      </c>
      <c r="W8" s="173">
        <v>48</v>
      </c>
      <c r="X8" s="16">
        <v>4</v>
      </c>
      <c r="Y8" s="37"/>
      <c r="Z8" s="14">
        <v>16</v>
      </c>
      <c r="AA8" s="140">
        <v>3</v>
      </c>
      <c r="AB8" s="16">
        <v>3</v>
      </c>
      <c r="AC8" s="16">
        <v>9</v>
      </c>
      <c r="AD8" s="16"/>
      <c r="AE8" s="14">
        <v>5</v>
      </c>
      <c r="AF8" s="37">
        <v>3</v>
      </c>
      <c r="AG8" s="14">
        <v>5</v>
      </c>
      <c r="AH8" s="16">
        <v>3</v>
      </c>
      <c r="AI8" s="46">
        <v>1</v>
      </c>
      <c r="AJ8" s="14">
        <v>3</v>
      </c>
      <c r="AK8" s="16">
        <v>1</v>
      </c>
      <c r="AL8" s="37"/>
      <c r="AM8" s="14">
        <v>9</v>
      </c>
      <c r="AN8" s="37"/>
      <c r="AO8" s="14"/>
      <c r="AP8" s="37">
        <v>3</v>
      </c>
      <c r="AQ8" s="37"/>
      <c r="AR8" s="190">
        <v>6</v>
      </c>
      <c r="AS8" s="176">
        <v>8</v>
      </c>
      <c r="AT8" s="148"/>
      <c r="AU8" s="37"/>
      <c r="AV8" s="45"/>
      <c r="AW8" s="192">
        <v>5</v>
      </c>
      <c r="AX8" s="45">
        <v>3</v>
      </c>
      <c r="AY8" s="45">
        <v>3</v>
      </c>
      <c r="AZ8" s="45"/>
      <c r="BA8" s="45"/>
      <c r="BB8" s="45"/>
      <c r="BC8" s="45"/>
      <c r="BD8" s="232"/>
    </row>
    <row r="9" spans="1:56" ht="37.200000000000003" customHeight="1" thickTop="1" x14ac:dyDescent="0.5">
      <c r="A9" s="6" t="s">
        <v>11</v>
      </c>
      <c r="B9" s="7" t="s">
        <v>18</v>
      </c>
      <c r="C9" s="6">
        <v>1908</v>
      </c>
      <c r="D9" s="57" t="s">
        <v>7</v>
      </c>
      <c r="E9" s="85" t="s">
        <v>157</v>
      </c>
      <c r="F9" s="265" t="s">
        <v>291</v>
      </c>
      <c r="G9" s="158">
        <v>4</v>
      </c>
      <c r="H9" s="158">
        <v>4</v>
      </c>
      <c r="I9" s="27"/>
      <c r="J9" s="209">
        <v>5</v>
      </c>
      <c r="K9" s="27"/>
      <c r="L9" s="27"/>
      <c r="M9" s="291"/>
      <c r="N9" s="265" t="s">
        <v>291</v>
      </c>
      <c r="O9" s="164">
        <v>26</v>
      </c>
      <c r="P9" s="40">
        <v>12</v>
      </c>
      <c r="Q9" s="40">
        <v>1</v>
      </c>
      <c r="R9" s="145">
        <v>2</v>
      </c>
      <c r="S9" s="171">
        <v>13</v>
      </c>
      <c r="T9" s="23">
        <v>14</v>
      </c>
      <c r="U9" s="6">
        <v>12</v>
      </c>
      <c r="V9" s="6">
        <v>3</v>
      </c>
      <c r="W9" s="181">
        <v>45</v>
      </c>
      <c r="X9" s="182">
        <v>13</v>
      </c>
      <c r="Y9" s="26">
        <v>1</v>
      </c>
      <c r="Z9" s="181">
        <v>45</v>
      </c>
      <c r="AA9" s="143">
        <v>3</v>
      </c>
      <c r="AB9" s="182">
        <v>5</v>
      </c>
      <c r="AC9" s="183">
        <v>36</v>
      </c>
      <c r="AD9" s="6"/>
      <c r="AE9" s="181">
        <v>17</v>
      </c>
      <c r="AF9" s="26">
        <v>15</v>
      </c>
      <c r="AG9" s="23">
        <v>4</v>
      </c>
      <c r="AH9" s="6">
        <v>2</v>
      </c>
      <c r="AI9" s="51"/>
      <c r="AJ9" s="108">
        <v>18</v>
      </c>
      <c r="AK9" s="42">
        <v>1</v>
      </c>
      <c r="AL9" s="26"/>
      <c r="AM9" s="23">
        <v>5</v>
      </c>
      <c r="AN9" s="26"/>
      <c r="AO9" s="23"/>
      <c r="AP9" s="149"/>
      <c r="AQ9" s="26">
        <v>1</v>
      </c>
      <c r="AR9" s="27">
        <v>3</v>
      </c>
      <c r="AS9" s="23"/>
      <c r="AT9" s="149"/>
      <c r="AU9" s="26"/>
      <c r="AV9" s="27"/>
      <c r="AW9" s="142"/>
      <c r="AX9" s="27"/>
      <c r="AY9" s="27">
        <v>1</v>
      </c>
      <c r="AZ9" s="27"/>
      <c r="BA9" s="27"/>
      <c r="BB9" s="27"/>
      <c r="BC9" s="27"/>
      <c r="BD9" s="232"/>
    </row>
    <row r="10" spans="1:56" ht="34.799999999999997" customHeight="1" x14ac:dyDescent="0.5">
      <c r="A10" s="2" t="s">
        <v>19</v>
      </c>
      <c r="B10" s="3" t="s">
        <v>20</v>
      </c>
      <c r="C10" s="2">
        <v>1908</v>
      </c>
      <c r="D10" s="55" t="s">
        <v>15</v>
      </c>
      <c r="E10" s="85" t="s">
        <v>158</v>
      </c>
      <c r="F10" s="263" t="s">
        <v>292</v>
      </c>
      <c r="G10" s="29">
        <v>1</v>
      </c>
      <c r="H10" s="29">
        <v>1</v>
      </c>
      <c r="I10" s="29"/>
      <c r="J10" s="28">
        <v>2</v>
      </c>
      <c r="K10" s="29"/>
      <c r="L10" s="29"/>
      <c r="M10" s="289"/>
      <c r="N10" s="263" t="s">
        <v>292</v>
      </c>
      <c r="O10" s="165">
        <v>53</v>
      </c>
      <c r="P10" s="167">
        <v>15</v>
      </c>
      <c r="Q10" s="35"/>
      <c r="R10" s="36"/>
      <c r="S10" s="30">
        <v>2</v>
      </c>
      <c r="T10" s="13">
        <v>14</v>
      </c>
      <c r="U10" s="2">
        <v>16</v>
      </c>
      <c r="V10" s="180">
        <v>9</v>
      </c>
      <c r="W10" s="13">
        <v>22</v>
      </c>
      <c r="X10" s="2">
        <v>2</v>
      </c>
      <c r="Y10" s="28">
        <v>2</v>
      </c>
      <c r="Z10" s="13">
        <v>18</v>
      </c>
      <c r="AA10" s="31">
        <v>1</v>
      </c>
      <c r="AB10" s="2">
        <v>1</v>
      </c>
      <c r="AC10" s="178">
        <v>18</v>
      </c>
      <c r="AD10" s="180">
        <v>4</v>
      </c>
      <c r="AE10" s="13">
        <v>8</v>
      </c>
      <c r="AF10" s="185">
        <v>18</v>
      </c>
      <c r="AG10" s="13">
        <v>5</v>
      </c>
      <c r="AH10" s="2">
        <v>1</v>
      </c>
      <c r="AI10" s="30">
        <v>3</v>
      </c>
      <c r="AJ10" s="13">
        <v>2</v>
      </c>
      <c r="AK10" s="2">
        <v>3</v>
      </c>
      <c r="AL10" s="28"/>
      <c r="AM10" s="187">
        <v>19</v>
      </c>
      <c r="AN10" s="28"/>
      <c r="AO10" s="13"/>
      <c r="AP10" s="147">
        <v>1</v>
      </c>
      <c r="AQ10" s="28">
        <v>1</v>
      </c>
      <c r="AR10" s="29"/>
      <c r="AS10" s="174">
        <v>6</v>
      </c>
      <c r="AT10" s="147"/>
      <c r="AU10" s="28"/>
      <c r="AV10" s="29"/>
      <c r="AW10" s="172">
        <v>4</v>
      </c>
      <c r="AX10" s="29"/>
      <c r="AY10" s="29"/>
      <c r="AZ10" s="191">
        <v>4</v>
      </c>
      <c r="BA10" s="29"/>
      <c r="BB10" s="29"/>
      <c r="BC10" s="29"/>
      <c r="BD10" s="232"/>
    </row>
    <row r="11" spans="1:56" ht="39.6" customHeight="1" x14ac:dyDescent="0.5">
      <c r="A11" s="2" t="s">
        <v>21</v>
      </c>
      <c r="B11" s="3" t="s">
        <v>22</v>
      </c>
      <c r="C11" s="2">
        <v>1909</v>
      </c>
      <c r="D11" s="55" t="s">
        <v>7</v>
      </c>
      <c r="E11" s="85" t="s">
        <v>159</v>
      </c>
      <c r="F11" s="263"/>
      <c r="G11" s="29"/>
      <c r="H11" s="29">
        <v>3</v>
      </c>
      <c r="I11" s="29"/>
      <c r="J11" s="185">
        <v>4</v>
      </c>
      <c r="K11" s="29"/>
      <c r="L11" s="191">
        <v>2</v>
      </c>
      <c r="M11" s="289"/>
      <c r="N11" s="263"/>
      <c r="O11" s="61">
        <v>10</v>
      </c>
      <c r="P11" s="35">
        <v>12</v>
      </c>
      <c r="Q11" s="35">
        <v>2</v>
      </c>
      <c r="R11" s="36">
        <v>2</v>
      </c>
      <c r="S11" s="30">
        <v>2</v>
      </c>
      <c r="T11" s="13">
        <v>10</v>
      </c>
      <c r="U11" s="2">
        <v>8</v>
      </c>
      <c r="V11" s="2">
        <v>1</v>
      </c>
      <c r="W11" s="13">
        <v>11</v>
      </c>
      <c r="X11" s="2">
        <v>1</v>
      </c>
      <c r="Y11" s="28">
        <v>1</v>
      </c>
      <c r="Z11" s="13">
        <v>17</v>
      </c>
      <c r="AA11" s="31">
        <v>2</v>
      </c>
      <c r="AB11" s="2">
        <v>1</v>
      </c>
      <c r="AC11" s="2">
        <v>13</v>
      </c>
      <c r="AD11" s="2">
        <v>2</v>
      </c>
      <c r="AE11" s="13">
        <v>1</v>
      </c>
      <c r="AF11" s="28">
        <v>2</v>
      </c>
      <c r="AG11" s="13"/>
      <c r="AH11" s="2"/>
      <c r="AI11" s="30"/>
      <c r="AJ11" s="174">
        <v>7</v>
      </c>
      <c r="AK11" s="2">
        <v>3</v>
      </c>
      <c r="AL11" s="28"/>
      <c r="AM11" s="13">
        <v>4</v>
      </c>
      <c r="AN11" s="28"/>
      <c r="AO11" s="13"/>
      <c r="AP11" s="147">
        <v>1</v>
      </c>
      <c r="AQ11" s="28">
        <v>1</v>
      </c>
      <c r="AR11" s="29"/>
      <c r="AS11" s="13"/>
      <c r="AT11" s="147"/>
      <c r="AU11" s="28"/>
      <c r="AV11" s="29"/>
      <c r="AW11" s="30"/>
      <c r="AX11" s="29"/>
      <c r="AY11" s="29"/>
      <c r="AZ11" s="29"/>
      <c r="BA11" s="29"/>
      <c r="BB11" s="29">
        <v>1</v>
      </c>
      <c r="BC11" s="29"/>
      <c r="BD11" s="232"/>
    </row>
    <row r="12" spans="1:56" ht="37.799999999999997" customHeight="1" x14ac:dyDescent="0.5">
      <c r="A12" s="2" t="s">
        <v>23</v>
      </c>
      <c r="B12" s="3" t="s">
        <v>24</v>
      </c>
      <c r="C12" s="2">
        <v>1909</v>
      </c>
      <c r="D12" s="58" t="s">
        <v>15</v>
      </c>
      <c r="E12" s="85" t="s">
        <v>160</v>
      </c>
      <c r="F12" s="263" t="s">
        <v>287</v>
      </c>
      <c r="G12" s="29"/>
      <c r="H12" s="29">
        <v>1</v>
      </c>
      <c r="I12" s="29"/>
      <c r="J12" s="28">
        <v>3</v>
      </c>
      <c r="K12" s="29"/>
      <c r="L12" s="29"/>
      <c r="M12" s="289"/>
      <c r="N12" s="263" t="s">
        <v>287</v>
      </c>
      <c r="O12" s="61">
        <v>9</v>
      </c>
      <c r="P12" s="35">
        <v>5</v>
      </c>
      <c r="Q12" s="35"/>
      <c r="R12" s="170">
        <v>4</v>
      </c>
      <c r="S12" s="30"/>
      <c r="T12" s="13">
        <v>9</v>
      </c>
      <c r="U12" s="2">
        <v>4</v>
      </c>
      <c r="V12" s="2">
        <v>2</v>
      </c>
      <c r="W12" s="13">
        <v>15</v>
      </c>
      <c r="X12" s="2">
        <v>3</v>
      </c>
      <c r="Y12" s="28"/>
      <c r="Z12" s="13">
        <v>8</v>
      </c>
      <c r="AA12" s="31">
        <v>3</v>
      </c>
      <c r="AB12" s="2">
        <v>3</v>
      </c>
      <c r="AC12" s="178">
        <v>18</v>
      </c>
      <c r="AD12" s="2"/>
      <c r="AE12" s="13">
        <v>6</v>
      </c>
      <c r="AF12" s="28">
        <v>5</v>
      </c>
      <c r="AG12" s="13"/>
      <c r="AH12" s="2">
        <v>1</v>
      </c>
      <c r="AI12" s="30"/>
      <c r="AJ12" s="13">
        <v>5</v>
      </c>
      <c r="AK12" s="2">
        <v>3</v>
      </c>
      <c r="AL12" s="28"/>
      <c r="AM12" s="13">
        <v>5</v>
      </c>
      <c r="AN12" s="28"/>
      <c r="AO12" s="13"/>
      <c r="AP12" s="147">
        <v>2</v>
      </c>
      <c r="AQ12" s="28"/>
      <c r="AR12" s="29"/>
      <c r="AS12" s="13"/>
      <c r="AT12" s="147"/>
      <c r="AU12" s="28"/>
      <c r="AV12" s="29"/>
      <c r="AW12" s="30"/>
      <c r="AX12" s="29"/>
      <c r="AY12" s="29"/>
      <c r="AZ12" s="29"/>
      <c r="BA12" s="29"/>
      <c r="BB12" s="29">
        <v>1</v>
      </c>
      <c r="BC12" s="29"/>
      <c r="BD12" s="232"/>
    </row>
    <row r="13" spans="1:56" ht="37.799999999999997" customHeight="1" x14ac:dyDescent="0.5">
      <c r="A13" s="2" t="s">
        <v>25</v>
      </c>
      <c r="B13" s="3" t="s">
        <v>26</v>
      </c>
      <c r="C13" s="2">
        <v>1910</v>
      </c>
      <c r="D13" s="55" t="s">
        <v>7</v>
      </c>
      <c r="E13" s="85" t="s">
        <v>161</v>
      </c>
      <c r="F13" s="263" t="s">
        <v>296</v>
      </c>
      <c r="G13" s="29"/>
      <c r="H13" s="29">
        <v>1</v>
      </c>
      <c r="I13" s="29"/>
      <c r="J13" s="28"/>
      <c r="K13" s="29"/>
      <c r="L13" s="29"/>
      <c r="M13" s="289"/>
      <c r="N13" s="263" t="s">
        <v>296</v>
      </c>
      <c r="O13" s="61">
        <v>6</v>
      </c>
      <c r="P13" s="35">
        <v>1</v>
      </c>
      <c r="Q13" s="35">
        <v>1</v>
      </c>
      <c r="R13" s="36"/>
      <c r="S13" s="30"/>
      <c r="T13" s="13">
        <v>2</v>
      </c>
      <c r="U13" s="2">
        <v>1</v>
      </c>
      <c r="V13" s="2"/>
      <c r="W13" s="13">
        <v>4</v>
      </c>
      <c r="X13" s="2">
        <v>2</v>
      </c>
      <c r="Y13" s="28">
        <v>1</v>
      </c>
      <c r="Z13" s="13"/>
      <c r="AA13" s="31"/>
      <c r="AB13" s="2"/>
      <c r="AC13" s="2">
        <v>1</v>
      </c>
      <c r="AD13" s="2">
        <v>1</v>
      </c>
      <c r="AE13" s="13">
        <v>4</v>
      </c>
      <c r="AF13" s="28">
        <v>7</v>
      </c>
      <c r="AG13" s="174">
        <v>13</v>
      </c>
      <c r="AH13" s="180">
        <v>5</v>
      </c>
      <c r="AI13" s="30"/>
      <c r="AJ13" s="13">
        <v>4</v>
      </c>
      <c r="AK13" s="180">
        <v>10</v>
      </c>
      <c r="AL13" s="28"/>
      <c r="AM13" s="13"/>
      <c r="AN13" s="28"/>
      <c r="AO13" s="13"/>
      <c r="AP13" s="147"/>
      <c r="AQ13" s="28"/>
      <c r="AR13" s="29">
        <v>1</v>
      </c>
      <c r="AS13" s="13">
        <v>1</v>
      </c>
      <c r="AT13" s="147"/>
      <c r="AU13" s="28"/>
      <c r="AV13" s="29">
        <v>1</v>
      </c>
      <c r="AW13" s="193">
        <v>12</v>
      </c>
      <c r="AX13" s="29"/>
      <c r="AY13" s="29"/>
      <c r="AZ13" s="29"/>
      <c r="BA13" s="29"/>
      <c r="BB13" s="29"/>
      <c r="BC13" s="29"/>
      <c r="BD13" s="232"/>
    </row>
    <row r="14" spans="1:56" ht="34.799999999999997" customHeight="1" thickBot="1" x14ac:dyDescent="0.55000000000000004">
      <c r="A14" s="21" t="s">
        <v>27</v>
      </c>
      <c r="B14" s="19" t="s">
        <v>28</v>
      </c>
      <c r="C14" s="18">
        <v>1910</v>
      </c>
      <c r="D14" s="59" t="s">
        <v>29</v>
      </c>
      <c r="E14" s="85" t="s">
        <v>163</v>
      </c>
      <c r="F14" s="264" t="s">
        <v>299</v>
      </c>
      <c r="G14" s="64">
        <v>3</v>
      </c>
      <c r="H14" s="64">
        <v>2</v>
      </c>
      <c r="I14" s="64"/>
      <c r="J14" s="41">
        <v>1</v>
      </c>
      <c r="K14" s="64"/>
      <c r="L14" s="64"/>
      <c r="M14" s="292"/>
      <c r="N14" s="264" t="s">
        <v>299</v>
      </c>
      <c r="O14" s="62">
        <v>9</v>
      </c>
      <c r="P14" s="38">
        <v>7</v>
      </c>
      <c r="Q14" s="38"/>
      <c r="R14" s="38"/>
      <c r="S14" s="52">
        <v>4</v>
      </c>
      <c r="T14" s="49">
        <v>16</v>
      </c>
      <c r="U14" s="18">
        <v>7</v>
      </c>
      <c r="V14" s="18"/>
      <c r="W14" s="49">
        <v>18</v>
      </c>
      <c r="X14" s="18">
        <v>6</v>
      </c>
      <c r="Y14" s="41"/>
      <c r="Z14" s="49">
        <v>3</v>
      </c>
      <c r="AA14" s="144"/>
      <c r="AB14" s="18">
        <v>2</v>
      </c>
      <c r="AC14" s="18">
        <v>10</v>
      </c>
      <c r="AD14" s="18">
        <v>2</v>
      </c>
      <c r="AE14" s="49">
        <v>4</v>
      </c>
      <c r="AF14" s="41"/>
      <c r="AG14" s="49">
        <v>2</v>
      </c>
      <c r="AH14" s="18"/>
      <c r="AI14" s="52"/>
      <c r="AJ14" s="49">
        <v>1</v>
      </c>
      <c r="AK14" s="18"/>
      <c r="AL14" s="41"/>
      <c r="AM14" s="49">
        <v>4</v>
      </c>
      <c r="AN14" s="41"/>
      <c r="AO14" s="188">
        <v>6</v>
      </c>
      <c r="AP14" s="189">
        <v>9</v>
      </c>
      <c r="AQ14" s="41"/>
      <c r="AR14" s="64">
        <v>2</v>
      </c>
      <c r="AS14" s="49"/>
      <c r="AT14" s="150"/>
      <c r="AU14" s="41"/>
      <c r="AV14" s="64"/>
      <c r="AW14" s="52"/>
      <c r="AX14" s="64">
        <v>1</v>
      </c>
      <c r="AY14" s="64"/>
      <c r="AZ14" s="64"/>
      <c r="BA14" s="64"/>
      <c r="BB14" s="64"/>
      <c r="BC14" s="64"/>
      <c r="BD14" s="232"/>
    </row>
    <row r="15" spans="1:56" ht="37.799999999999997" customHeight="1" thickTop="1" x14ac:dyDescent="0.5">
      <c r="A15" s="9" t="s">
        <v>30</v>
      </c>
      <c r="B15" s="10" t="s">
        <v>31</v>
      </c>
      <c r="C15" s="10">
        <v>1911</v>
      </c>
      <c r="D15" s="60" t="s">
        <v>7</v>
      </c>
      <c r="E15" s="85" t="s">
        <v>164</v>
      </c>
      <c r="F15" s="265" t="s">
        <v>287</v>
      </c>
      <c r="G15" s="63">
        <v>2</v>
      </c>
      <c r="H15" s="63">
        <v>1</v>
      </c>
      <c r="I15" s="63"/>
      <c r="J15" s="32">
        <v>1</v>
      </c>
      <c r="K15" s="152">
        <v>7</v>
      </c>
      <c r="L15" s="63"/>
      <c r="M15" s="288"/>
      <c r="N15" s="265" t="s">
        <v>287</v>
      </c>
      <c r="O15" s="141">
        <v>11</v>
      </c>
      <c r="P15" s="40">
        <v>6</v>
      </c>
      <c r="Q15" s="40">
        <v>3</v>
      </c>
      <c r="R15" s="145">
        <v>2</v>
      </c>
      <c r="S15" s="50">
        <v>3</v>
      </c>
      <c r="T15" s="9">
        <v>8</v>
      </c>
      <c r="U15" s="179">
        <v>19</v>
      </c>
      <c r="V15" s="11">
        <v>3</v>
      </c>
      <c r="W15" s="9">
        <v>23</v>
      </c>
      <c r="X15" s="11">
        <v>1</v>
      </c>
      <c r="Y15" s="32"/>
      <c r="Z15" s="9">
        <v>1</v>
      </c>
      <c r="AA15" s="139">
        <v>1</v>
      </c>
      <c r="AB15" s="11">
        <v>1</v>
      </c>
      <c r="AC15" s="11">
        <v>3</v>
      </c>
      <c r="AD15" s="11"/>
      <c r="AE15" s="9">
        <v>4</v>
      </c>
      <c r="AF15" s="32">
        <v>17</v>
      </c>
      <c r="AG15" s="9">
        <v>8</v>
      </c>
      <c r="AH15" s="11">
        <v>2</v>
      </c>
      <c r="AI15" s="50">
        <v>1</v>
      </c>
      <c r="AJ15" s="9">
        <v>4</v>
      </c>
      <c r="AK15" s="11">
        <v>3</v>
      </c>
      <c r="AL15" s="32"/>
      <c r="AM15" s="9">
        <v>1</v>
      </c>
      <c r="AN15" s="32"/>
      <c r="AO15" s="9"/>
      <c r="AP15" s="146">
        <v>2</v>
      </c>
      <c r="AQ15" s="32"/>
      <c r="AR15" s="63">
        <v>3</v>
      </c>
      <c r="AS15" s="9"/>
      <c r="AT15" s="146"/>
      <c r="AU15" s="32"/>
      <c r="AV15" s="63"/>
      <c r="AW15" s="50"/>
      <c r="AX15" s="63"/>
      <c r="AY15" s="63"/>
      <c r="AZ15" s="63"/>
      <c r="BA15" s="63"/>
      <c r="BB15" s="63"/>
      <c r="BC15" s="63"/>
      <c r="BD15" s="232"/>
    </row>
    <row r="16" spans="1:56" ht="33.6" customHeight="1" x14ac:dyDescent="0.5">
      <c r="A16" s="13" t="s">
        <v>32</v>
      </c>
      <c r="B16" s="3" t="s">
        <v>33</v>
      </c>
      <c r="C16" s="2">
        <v>1912</v>
      </c>
      <c r="D16" s="55" t="s">
        <v>7</v>
      </c>
      <c r="E16" s="85" t="s">
        <v>165</v>
      </c>
      <c r="F16" s="263" t="s">
        <v>288</v>
      </c>
      <c r="G16" s="29">
        <v>1</v>
      </c>
      <c r="H16" s="29">
        <v>1</v>
      </c>
      <c r="I16" s="29"/>
      <c r="J16" s="28"/>
      <c r="K16" s="29"/>
      <c r="L16" s="29"/>
      <c r="M16" s="289"/>
      <c r="N16" s="263" t="s">
        <v>288</v>
      </c>
      <c r="O16" s="61">
        <v>14</v>
      </c>
      <c r="P16" s="35">
        <v>8</v>
      </c>
      <c r="Q16" s="35">
        <v>1</v>
      </c>
      <c r="R16" s="36"/>
      <c r="S16" s="30">
        <v>1</v>
      </c>
      <c r="T16" s="13">
        <v>11</v>
      </c>
      <c r="U16" s="2">
        <v>7</v>
      </c>
      <c r="V16" s="2">
        <v>1</v>
      </c>
      <c r="W16" s="13">
        <v>7</v>
      </c>
      <c r="X16" s="178">
        <v>7</v>
      </c>
      <c r="Y16" s="28"/>
      <c r="Z16" s="13">
        <v>6</v>
      </c>
      <c r="AA16" s="31">
        <v>3</v>
      </c>
      <c r="AB16" s="2">
        <v>1</v>
      </c>
      <c r="AC16" s="2">
        <v>2</v>
      </c>
      <c r="AD16" s="2"/>
      <c r="AE16" s="13"/>
      <c r="AF16" s="28">
        <v>3</v>
      </c>
      <c r="AG16" s="174">
        <v>12</v>
      </c>
      <c r="AH16" s="2">
        <v>2</v>
      </c>
      <c r="AI16" s="30"/>
      <c r="AJ16" s="13">
        <v>2</v>
      </c>
      <c r="AK16" s="2">
        <v>1</v>
      </c>
      <c r="AL16" s="28"/>
      <c r="AM16" s="174">
        <v>10</v>
      </c>
      <c r="AN16" s="28">
        <v>1</v>
      </c>
      <c r="AO16" s="13">
        <v>1</v>
      </c>
      <c r="AP16" s="147">
        <v>2</v>
      </c>
      <c r="AQ16" s="28"/>
      <c r="AR16" s="29">
        <v>1</v>
      </c>
      <c r="AS16" s="13"/>
      <c r="AT16" s="147"/>
      <c r="AU16" s="28"/>
      <c r="AV16" s="29"/>
      <c r="AW16" s="30"/>
      <c r="AX16" s="29"/>
      <c r="AY16" s="29"/>
      <c r="AZ16" s="29"/>
      <c r="BA16" s="29"/>
      <c r="BB16" s="29"/>
      <c r="BC16" s="29"/>
      <c r="BD16" s="232"/>
    </row>
    <row r="17" spans="1:65" ht="31.2" x14ac:dyDescent="0.5">
      <c r="A17" s="13" t="s">
        <v>34</v>
      </c>
      <c r="B17" s="3" t="s">
        <v>35</v>
      </c>
      <c r="C17" s="2">
        <v>1913</v>
      </c>
      <c r="D17" s="55" t="s">
        <v>7</v>
      </c>
      <c r="E17" s="85" t="s">
        <v>167</v>
      </c>
      <c r="F17" s="263" t="s">
        <v>299</v>
      </c>
      <c r="G17" s="29">
        <v>2</v>
      </c>
      <c r="H17" s="191">
        <v>11</v>
      </c>
      <c r="I17" s="29"/>
      <c r="J17" s="28"/>
      <c r="K17" s="29"/>
      <c r="L17" s="29"/>
      <c r="M17" s="289"/>
      <c r="N17" s="263" t="s">
        <v>299</v>
      </c>
      <c r="O17" s="166">
        <v>32</v>
      </c>
      <c r="P17" s="167">
        <v>20</v>
      </c>
      <c r="Q17" s="169">
        <v>5</v>
      </c>
      <c r="R17" s="36">
        <v>1</v>
      </c>
      <c r="S17" s="172">
        <v>5</v>
      </c>
      <c r="T17" s="174">
        <v>25</v>
      </c>
      <c r="U17" s="180">
        <v>33</v>
      </c>
      <c r="V17" s="2">
        <v>2</v>
      </c>
      <c r="W17" s="13">
        <v>21</v>
      </c>
      <c r="X17" s="180">
        <v>14</v>
      </c>
      <c r="Y17" s="28"/>
      <c r="Z17" s="174">
        <v>20</v>
      </c>
      <c r="AA17" s="31"/>
      <c r="AB17" s="180">
        <v>14</v>
      </c>
      <c r="AC17" s="178">
        <v>20</v>
      </c>
      <c r="AD17" s="2">
        <v>1</v>
      </c>
      <c r="AE17" s="174">
        <v>8</v>
      </c>
      <c r="AF17" s="185">
        <v>18</v>
      </c>
      <c r="AG17" s="13">
        <v>7</v>
      </c>
      <c r="AH17" s="2">
        <v>4</v>
      </c>
      <c r="AI17" s="30"/>
      <c r="AJ17" s="174">
        <v>13</v>
      </c>
      <c r="AK17" s="2">
        <v>1</v>
      </c>
      <c r="AL17" s="28"/>
      <c r="AM17" s="174">
        <v>20</v>
      </c>
      <c r="AN17" s="28"/>
      <c r="AO17" s="13"/>
      <c r="AP17" s="147">
        <v>2</v>
      </c>
      <c r="AQ17" s="28"/>
      <c r="AR17" s="191">
        <v>8</v>
      </c>
      <c r="AS17" s="13"/>
      <c r="AT17" s="147"/>
      <c r="AU17" s="28"/>
      <c r="AV17" s="29"/>
      <c r="AW17" s="30">
        <v>3</v>
      </c>
      <c r="AX17" s="191">
        <v>4</v>
      </c>
      <c r="AY17" s="29"/>
      <c r="AZ17" s="29">
        <v>2</v>
      </c>
      <c r="BA17" s="29"/>
      <c r="BB17" s="29">
        <v>1</v>
      </c>
      <c r="BC17" s="29"/>
      <c r="BD17" s="232"/>
    </row>
    <row r="18" spans="1:65" ht="38.4" customHeight="1" thickBot="1" x14ac:dyDescent="0.55000000000000004">
      <c r="A18" s="14" t="s">
        <v>36</v>
      </c>
      <c r="B18" s="15" t="s">
        <v>37</v>
      </c>
      <c r="C18" s="16">
        <v>1914</v>
      </c>
      <c r="D18" s="56" t="s">
        <v>15</v>
      </c>
      <c r="E18" s="154" t="s">
        <v>168</v>
      </c>
      <c r="F18" s="271" t="s">
        <v>292</v>
      </c>
      <c r="G18" s="45">
        <v>1</v>
      </c>
      <c r="H18" s="45"/>
      <c r="I18" s="45"/>
      <c r="J18" s="37">
        <v>1</v>
      </c>
      <c r="K18" s="45"/>
      <c r="L18" s="45"/>
      <c r="M18" s="290"/>
      <c r="N18" s="271" t="s">
        <v>292</v>
      </c>
      <c r="O18" s="62">
        <v>19</v>
      </c>
      <c r="P18" s="38">
        <v>2</v>
      </c>
      <c r="Q18" s="38">
        <v>1</v>
      </c>
      <c r="R18" s="39">
        <v>1</v>
      </c>
      <c r="S18" s="46">
        <v>2</v>
      </c>
      <c r="T18" s="14">
        <v>20</v>
      </c>
      <c r="U18" s="16">
        <v>9</v>
      </c>
      <c r="V18" s="16"/>
      <c r="W18" s="173">
        <v>38</v>
      </c>
      <c r="X18" s="16">
        <v>4</v>
      </c>
      <c r="Y18" s="37">
        <v>1</v>
      </c>
      <c r="Z18" s="14">
        <v>12</v>
      </c>
      <c r="AA18" s="140">
        <v>2</v>
      </c>
      <c r="AB18" s="16"/>
      <c r="AC18" s="16">
        <v>5</v>
      </c>
      <c r="AD18" s="16"/>
      <c r="AE18" s="173">
        <v>7</v>
      </c>
      <c r="AF18" s="37">
        <v>9</v>
      </c>
      <c r="AG18" s="14">
        <v>3</v>
      </c>
      <c r="AH18" s="16">
        <v>1</v>
      </c>
      <c r="AI18" s="46"/>
      <c r="AJ18" s="14">
        <v>5</v>
      </c>
      <c r="AK18" s="16">
        <v>1</v>
      </c>
      <c r="AL18" s="37"/>
      <c r="AM18" s="14">
        <v>2</v>
      </c>
      <c r="AN18" s="37"/>
      <c r="AO18" s="14"/>
      <c r="AP18" s="148"/>
      <c r="AQ18" s="37">
        <v>1</v>
      </c>
      <c r="AR18" s="190">
        <v>4</v>
      </c>
      <c r="AS18" s="14">
        <v>1</v>
      </c>
      <c r="AT18" s="148"/>
      <c r="AU18" s="37"/>
      <c r="AV18" s="45"/>
      <c r="AW18" s="46">
        <v>1</v>
      </c>
      <c r="AX18" s="45">
        <v>1</v>
      </c>
      <c r="AY18" s="45"/>
      <c r="AZ18" s="45"/>
      <c r="BA18" s="45"/>
      <c r="BB18" s="45"/>
      <c r="BC18" s="45"/>
      <c r="BD18" s="232"/>
    </row>
    <row r="19" spans="1:65" s="137" customFormat="1" ht="46.2" customHeight="1" thickTop="1" thickBot="1" x14ac:dyDescent="0.35">
      <c r="A19" s="522" t="s">
        <v>425</v>
      </c>
      <c r="B19" s="518"/>
      <c r="C19" s="518"/>
      <c r="D19" s="519"/>
      <c r="E19" s="416" t="s">
        <v>293</v>
      </c>
      <c r="F19" s="153" t="s">
        <v>141</v>
      </c>
      <c r="G19" s="452">
        <f t="shared" ref="G19:I19" si="0">SUM(G4:G18)</f>
        <v>34</v>
      </c>
      <c r="H19" s="452">
        <f t="shared" si="0"/>
        <v>30</v>
      </c>
      <c r="I19" s="161">
        <f t="shared" si="0"/>
        <v>2</v>
      </c>
      <c r="J19" s="159">
        <f>SUM(J4:J18)</f>
        <v>22</v>
      </c>
      <c r="K19" s="452">
        <f t="shared" ref="K19:M19" si="1">SUM(K4:K18)</f>
        <v>13</v>
      </c>
      <c r="L19" s="452">
        <f t="shared" ref="L19" si="2">SUM(L4:L18)</f>
        <v>2</v>
      </c>
      <c r="M19" s="477">
        <f t="shared" si="1"/>
        <v>1</v>
      </c>
      <c r="N19" s="153" t="s">
        <v>141</v>
      </c>
      <c r="O19" s="159">
        <f t="shared" ref="O19:BC19" si="3">SUM(O4:O18)</f>
        <v>250</v>
      </c>
      <c r="P19" s="159">
        <f t="shared" si="3"/>
        <v>156</v>
      </c>
      <c r="Q19" s="159">
        <f t="shared" si="3"/>
        <v>19</v>
      </c>
      <c r="R19" s="159">
        <f t="shared" si="3"/>
        <v>16</v>
      </c>
      <c r="S19" s="159">
        <f t="shared" si="3"/>
        <v>35</v>
      </c>
      <c r="T19" s="162">
        <f t="shared" si="3"/>
        <v>228</v>
      </c>
      <c r="U19" s="159">
        <f t="shared" si="3"/>
        <v>180</v>
      </c>
      <c r="V19" s="159">
        <f t="shared" si="3"/>
        <v>34</v>
      </c>
      <c r="W19" s="162">
        <f t="shared" si="3"/>
        <v>321</v>
      </c>
      <c r="X19" s="159">
        <f t="shared" si="3"/>
        <v>68</v>
      </c>
      <c r="Y19" s="159">
        <f t="shared" si="3"/>
        <v>9</v>
      </c>
      <c r="Z19" s="162">
        <f t="shared" si="3"/>
        <v>177</v>
      </c>
      <c r="AA19" s="159">
        <f t="shared" si="3"/>
        <v>29</v>
      </c>
      <c r="AB19" s="159">
        <f t="shared" si="3"/>
        <v>48</v>
      </c>
      <c r="AC19" s="159">
        <f t="shared" si="3"/>
        <v>147</v>
      </c>
      <c r="AD19" s="159">
        <f t="shared" si="3"/>
        <v>14</v>
      </c>
      <c r="AE19" s="162">
        <f t="shared" si="3"/>
        <v>80</v>
      </c>
      <c r="AF19" s="159">
        <f t="shared" si="3"/>
        <v>142</v>
      </c>
      <c r="AG19" s="162">
        <f t="shared" si="3"/>
        <v>79</v>
      </c>
      <c r="AH19" s="159">
        <f t="shared" si="3"/>
        <v>24</v>
      </c>
      <c r="AI19" s="159">
        <f t="shared" si="3"/>
        <v>6</v>
      </c>
      <c r="AJ19" s="162">
        <f t="shared" si="3"/>
        <v>76</v>
      </c>
      <c r="AK19" s="159">
        <f t="shared" si="3"/>
        <v>33</v>
      </c>
      <c r="AL19" s="159">
        <f t="shared" si="3"/>
        <v>1</v>
      </c>
      <c r="AM19" s="162">
        <f t="shared" si="3"/>
        <v>102</v>
      </c>
      <c r="AN19" s="159">
        <f t="shared" si="3"/>
        <v>1</v>
      </c>
      <c r="AO19" s="162">
        <f t="shared" si="3"/>
        <v>9</v>
      </c>
      <c r="AP19" s="159">
        <f t="shared" si="3"/>
        <v>27</v>
      </c>
      <c r="AQ19" s="159">
        <f t="shared" si="3"/>
        <v>4</v>
      </c>
      <c r="AR19" s="163">
        <f t="shared" ref="AR19" si="4">SUM(AR4:AR18)</f>
        <v>33</v>
      </c>
      <c r="AS19" s="162">
        <f t="shared" si="3"/>
        <v>30</v>
      </c>
      <c r="AT19" s="159">
        <f t="shared" si="3"/>
        <v>1</v>
      </c>
      <c r="AU19" s="159">
        <f t="shared" si="3"/>
        <v>2</v>
      </c>
      <c r="AV19" s="162">
        <f t="shared" si="3"/>
        <v>1</v>
      </c>
      <c r="AW19" s="160">
        <f t="shared" si="3"/>
        <v>26</v>
      </c>
      <c r="AX19" s="490">
        <f t="shared" si="3"/>
        <v>14</v>
      </c>
      <c r="AY19" s="490">
        <f t="shared" si="3"/>
        <v>13</v>
      </c>
      <c r="AZ19" s="161">
        <f t="shared" si="3"/>
        <v>9</v>
      </c>
      <c r="BA19" s="161">
        <f t="shared" si="3"/>
        <v>1</v>
      </c>
      <c r="BB19" s="490">
        <f t="shared" ref="BB19" si="5">SUM(BB4:BB18)</f>
        <v>6</v>
      </c>
      <c r="BC19" s="444">
        <f t="shared" si="3"/>
        <v>3</v>
      </c>
      <c r="BD19" s="232"/>
      <c r="BE19"/>
      <c r="BF19"/>
      <c r="BG19"/>
      <c r="BH19"/>
      <c r="BI19"/>
      <c r="BJ19"/>
      <c r="BK19"/>
      <c r="BL19"/>
      <c r="BM19"/>
    </row>
    <row r="20" spans="1:65" ht="46.8" customHeight="1" thickTop="1" thickBot="1" x14ac:dyDescent="0.35">
      <c r="A20" s="527" t="s">
        <v>426</v>
      </c>
      <c r="B20" s="528"/>
      <c r="C20" s="528"/>
      <c r="D20" s="529"/>
      <c r="E20" s="417"/>
      <c r="F20" s="125" t="s">
        <v>140</v>
      </c>
      <c r="G20" s="453"/>
      <c r="H20" s="453"/>
      <c r="I20" s="474">
        <v>24</v>
      </c>
      <c r="J20" s="475"/>
      <c r="K20" s="453"/>
      <c r="L20" s="453"/>
      <c r="M20" s="478"/>
      <c r="N20" s="125" t="s">
        <v>140</v>
      </c>
      <c r="O20" s="479">
        <v>476</v>
      </c>
      <c r="P20" s="476"/>
      <c r="Q20" s="476"/>
      <c r="R20" s="476"/>
      <c r="S20" s="475"/>
      <c r="T20" s="474">
        <v>442</v>
      </c>
      <c r="U20" s="476"/>
      <c r="V20" s="476"/>
      <c r="W20" s="474">
        <v>398</v>
      </c>
      <c r="X20" s="476"/>
      <c r="Y20" s="475"/>
      <c r="Z20" s="474">
        <v>415</v>
      </c>
      <c r="AA20" s="476"/>
      <c r="AB20" s="476"/>
      <c r="AC20" s="476"/>
      <c r="AD20" s="475"/>
      <c r="AE20" s="474">
        <v>222</v>
      </c>
      <c r="AF20" s="475"/>
      <c r="AG20" s="474">
        <v>109</v>
      </c>
      <c r="AH20" s="476"/>
      <c r="AI20" s="475"/>
      <c r="AJ20" s="474">
        <v>110</v>
      </c>
      <c r="AK20" s="476"/>
      <c r="AL20" s="475"/>
      <c r="AM20" s="474">
        <v>103</v>
      </c>
      <c r="AN20" s="475"/>
      <c r="AO20" s="474">
        <v>40</v>
      </c>
      <c r="AP20" s="476"/>
      <c r="AQ20" s="475"/>
      <c r="AR20" s="155">
        <v>33</v>
      </c>
      <c r="AS20" s="474">
        <v>33</v>
      </c>
      <c r="AT20" s="476"/>
      <c r="AU20" s="475"/>
      <c r="AV20" s="474">
        <v>27</v>
      </c>
      <c r="AW20" s="475"/>
      <c r="AX20" s="491"/>
      <c r="AY20" s="491"/>
      <c r="AZ20" s="474">
        <v>10</v>
      </c>
      <c r="BA20" s="475"/>
      <c r="BB20" s="491"/>
      <c r="BC20" s="445"/>
      <c r="BD20" s="232"/>
    </row>
    <row r="21" spans="1:65" ht="14.4" customHeight="1" thickTop="1" x14ac:dyDescent="0.3">
      <c r="F21" s="266"/>
      <c r="N21" s="266"/>
      <c r="O21" s="25"/>
      <c r="P21" s="25"/>
      <c r="Q21" s="25"/>
      <c r="R21" s="25"/>
    </row>
    <row r="22" spans="1:65" x14ac:dyDescent="0.3">
      <c r="H22"/>
      <c r="I22"/>
      <c r="K22"/>
      <c r="L22"/>
      <c r="M22"/>
    </row>
    <row r="23" spans="1:65" x14ac:dyDescent="0.3">
      <c r="H23"/>
      <c r="I23"/>
      <c r="K23"/>
      <c r="L23"/>
      <c r="M23"/>
    </row>
    <row r="24" spans="1:65" x14ac:dyDescent="0.3">
      <c r="H24"/>
      <c r="I24"/>
      <c r="K24"/>
      <c r="L24"/>
      <c r="M24"/>
    </row>
    <row r="25" spans="1:65" x14ac:dyDescent="0.3">
      <c r="H25"/>
      <c r="I25"/>
      <c r="K25"/>
      <c r="L25"/>
      <c r="M25"/>
    </row>
    <row r="26" spans="1:65" x14ac:dyDescent="0.3">
      <c r="H26"/>
      <c r="I26"/>
      <c r="K26"/>
      <c r="L26"/>
      <c r="M26"/>
    </row>
    <row r="27" spans="1:65" x14ac:dyDescent="0.3">
      <c r="H27"/>
      <c r="I27"/>
      <c r="K27"/>
      <c r="L27"/>
      <c r="M27"/>
    </row>
    <row r="28" spans="1:65" x14ac:dyDescent="0.3">
      <c r="H28"/>
      <c r="I28"/>
      <c r="K28"/>
      <c r="L28"/>
      <c r="M28"/>
    </row>
    <row r="29" spans="1:65" x14ac:dyDescent="0.3">
      <c r="H29"/>
      <c r="I29"/>
      <c r="K29"/>
      <c r="L29"/>
      <c r="M29"/>
    </row>
    <row r="30" spans="1:65" x14ac:dyDescent="0.3">
      <c r="H30"/>
      <c r="I30"/>
      <c r="K30"/>
      <c r="L30"/>
      <c r="M30"/>
    </row>
    <row r="31" spans="1:65" x14ac:dyDescent="0.3">
      <c r="H31"/>
      <c r="I31"/>
      <c r="K31"/>
      <c r="L31"/>
      <c r="M31"/>
    </row>
    <row r="32" spans="1:65" x14ac:dyDescent="0.3">
      <c r="H32"/>
      <c r="I32"/>
      <c r="K32"/>
      <c r="L32"/>
      <c r="M32"/>
    </row>
    <row r="33" spans="8:13" x14ac:dyDescent="0.3">
      <c r="H33"/>
      <c r="I33"/>
      <c r="K33"/>
      <c r="L33"/>
      <c r="M33"/>
    </row>
    <row r="34" spans="8:13" x14ac:dyDescent="0.3">
      <c r="H34"/>
      <c r="I34"/>
      <c r="K34"/>
      <c r="L34"/>
      <c r="M34"/>
    </row>
    <row r="35" spans="8:13" x14ac:dyDescent="0.3">
      <c r="H35"/>
      <c r="I35"/>
      <c r="K35"/>
      <c r="L35"/>
      <c r="M35"/>
    </row>
    <row r="36" spans="8:13" x14ac:dyDescent="0.3">
      <c r="H36"/>
      <c r="I36"/>
      <c r="K36"/>
      <c r="L36"/>
      <c r="M36"/>
    </row>
    <row r="37" spans="8:13" x14ac:dyDescent="0.3">
      <c r="H37"/>
      <c r="I37"/>
      <c r="K37"/>
      <c r="L37"/>
      <c r="M37"/>
    </row>
    <row r="38" spans="8:13" x14ac:dyDescent="0.3">
      <c r="H38"/>
      <c r="I38"/>
      <c r="K38"/>
      <c r="L38"/>
      <c r="M38"/>
    </row>
    <row r="39" spans="8:13" x14ac:dyDescent="0.3">
      <c r="H39"/>
      <c r="I39"/>
      <c r="K39"/>
      <c r="L39"/>
      <c r="M39"/>
    </row>
    <row r="40" spans="8:13" x14ac:dyDescent="0.3">
      <c r="H40"/>
      <c r="I40"/>
      <c r="K40"/>
      <c r="L40"/>
      <c r="M40"/>
    </row>
    <row r="41" spans="8:13" x14ac:dyDescent="0.3">
      <c r="H41"/>
      <c r="I41"/>
      <c r="K41"/>
      <c r="L41"/>
      <c r="M41"/>
    </row>
    <row r="42" spans="8:13" x14ac:dyDescent="0.3">
      <c r="H42"/>
      <c r="I42"/>
      <c r="K42"/>
      <c r="L42"/>
      <c r="M42"/>
    </row>
    <row r="43" spans="8:13" x14ac:dyDescent="0.3">
      <c r="H43"/>
      <c r="I43"/>
      <c r="K43"/>
      <c r="L43"/>
      <c r="M43"/>
    </row>
    <row r="44" spans="8:13" x14ac:dyDescent="0.3">
      <c r="H44"/>
      <c r="I44"/>
      <c r="K44"/>
      <c r="L44"/>
      <c r="M44"/>
    </row>
    <row r="45" spans="8:13" x14ac:dyDescent="0.3">
      <c r="H45"/>
      <c r="I45"/>
      <c r="K45"/>
      <c r="L45"/>
      <c r="M45"/>
    </row>
    <row r="46" spans="8:13" x14ac:dyDescent="0.3">
      <c r="H46"/>
      <c r="I46"/>
      <c r="K46"/>
      <c r="L46"/>
      <c r="M46"/>
    </row>
    <row r="47" spans="8:13" x14ac:dyDescent="0.3">
      <c r="H47"/>
      <c r="I47"/>
      <c r="K47"/>
      <c r="L47"/>
      <c r="M47"/>
    </row>
    <row r="48" spans="8:13" x14ac:dyDescent="0.3">
      <c r="H48"/>
      <c r="I48"/>
      <c r="K48"/>
      <c r="L48"/>
      <c r="M48"/>
    </row>
    <row r="49" spans="8:13" x14ac:dyDescent="0.3">
      <c r="H49"/>
      <c r="I49"/>
      <c r="K49"/>
      <c r="L49"/>
      <c r="M49"/>
    </row>
    <row r="50" spans="8:13" x14ac:dyDescent="0.3">
      <c r="H50"/>
      <c r="I50"/>
      <c r="K50"/>
      <c r="L50"/>
      <c r="M50"/>
    </row>
    <row r="51" spans="8:13" x14ac:dyDescent="0.3">
      <c r="H51"/>
      <c r="I51"/>
      <c r="K51"/>
      <c r="L51"/>
      <c r="M51"/>
    </row>
    <row r="52" spans="8:13" x14ac:dyDescent="0.3">
      <c r="H52"/>
      <c r="I52"/>
      <c r="K52"/>
      <c r="L52"/>
      <c r="M52"/>
    </row>
    <row r="53" spans="8:13" x14ac:dyDescent="0.3">
      <c r="H53"/>
      <c r="I53"/>
      <c r="K53"/>
      <c r="L53"/>
      <c r="M53"/>
    </row>
    <row r="54" spans="8:13" x14ac:dyDescent="0.3">
      <c r="H54"/>
      <c r="I54"/>
      <c r="K54"/>
      <c r="L54"/>
      <c r="M54"/>
    </row>
    <row r="55" spans="8:13" x14ac:dyDescent="0.3">
      <c r="H55"/>
      <c r="I55"/>
      <c r="K55"/>
      <c r="L55"/>
      <c r="M55"/>
    </row>
    <row r="56" spans="8:13" x14ac:dyDescent="0.3">
      <c r="H56"/>
      <c r="I56"/>
      <c r="K56"/>
      <c r="L56"/>
      <c r="M56"/>
    </row>
    <row r="57" spans="8:13" x14ac:dyDescent="0.3">
      <c r="H57"/>
      <c r="I57"/>
      <c r="K57"/>
      <c r="L57"/>
      <c r="M57"/>
    </row>
    <row r="58" spans="8:13" x14ac:dyDescent="0.3">
      <c r="H58"/>
      <c r="I58"/>
      <c r="K58"/>
      <c r="L58"/>
      <c r="M58"/>
    </row>
    <row r="59" spans="8:13" x14ac:dyDescent="0.3">
      <c r="H59"/>
      <c r="I59"/>
      <c r="K59"/>
      <c r="L59"/>
      <c r="M59"/>
    </row>
    <row r="60" spans="8:13" x14ac:dyDescent="0.3">
      <c r="H60"/>
      <c r="I60"/>
      <c r="K60"/>
      <c r="L60"/>
      <c r="M60"/>
    </row>
    <row r="61" spans="8:13" x14ac:dyDescent="0.3">
      <c r="H61"/>
      <c r="I61"/>
      <c r="K61"/>
      <c r="L61"/>
      <c r="M61"/>
    </row>
    <row r="62" spans="8:13" x14ac:dyDescent="0.3">
      <c r="H62"/>
      <c r="I62"/>
      <c r="K62"/>
      <c r="L62"/>
      <c r="M62"/>
    </row>
    <row r="63" spans="8:13" x14ac:dyDescent="0.3">
      <c r="H63"/>
      <c r="I63"/>
      <c r="K63"/>
      <c r="L63"/>
      <c r="M63"/>
    </row>
    <row r="64" spans="8:13" x14ac:dyDescent="0.3">
      <c r="H64"/>
      <c r="I64"/>
      <c r="K64"/>
      <c r="L64"/>
      <c r="M64"/>
    </row>
    <row r="65" spans="8:13" x14ac:dyDescent="0.3">
      <c r="H65"/>
      <c r="I65"/>
      <c r="K65"/>
      <c r="L65"/>
      <c r="M65"/>
    </row>
    <row r="66" spans="8:13" x14ac:dyDescent="0.3">
      <c r="H66"/>
      <c r="I66"/>
      <c r="K66"/>
      <c r="L66"/>
      <c r="M66"/>
    </row>
    <row r="67" spans="8:13" x14ac:dyDescent="0.3">
      <c r="H67"/>
      <c r="I67"/>
      <c r="K67"/>
      <c r="L67"/>
      <c r="M67"/>
    </row>
    <row r="68" spans="8:13" x14ac:dyDescent="0.3">
      <c r="H68"/>
      <c r="I68"/>
      <c r="K68"/>
      <c r="L68"/>
      <c r="M68"/>
    </row>
    <row r="69" spans="8:13" x14ac:dyDescent="0.3">
      <c r="H69"/>
      <c r="I69"/>
      <c r="K69"/>
      <c r="L69"/>
      <c r="M69"/>
    </row>
  </sheetData>
  <mergeCells count="58">
    <mergeCell ref="A19:D19"/>
    <mergeCell ref="A20:D20"/>
    <mergeCell ref="AR2:AR3"/>
    <mergeCell ref="E19:E20"/>
    <mergeCell ref="AY19:AY20"/>
    <mergeCell ref="AZ20:BA20"/>
    <mergeCell ref="BB19:BB20"/>
    <mergeCell ref="BC19:BC20"/>
    <mergeCell ref="AM20:AN20"/>
    <mergeCell ref="AO20:AQ20"/>
    <mergeCell ref="AS20:AU20"/>
    <mergeCell ref="AV20:AW20"/>
    <mergeCell ref="AX19:AX20"/>
    <mergeCell ref="H19:H20"/>
    <mergeCell ref="Z20:AD20"/>
    <mergeCell ref="L19:L20"/>
    <mergeCell ref="A2:A3"/>
    <mergeCell ref="G2:G3"/>
    <mergeCell ref="E1:E3"/>
    <mergeCell ref="B2:B3"/>
    <mergeCell ref="C2:C3"/>
    <mergeCell ref="D2:D3"/>
    <mergeCell ref="A1:D1"/>
    <mergeCell ref="G1:M1"/>
    <mergeCell ref="I2:J2"/>
    <mergeCell ref="K2:K3"/>
    <mergeCell ref="H2:H3"/>
    <mergeCell ref="M2:M3"/>
    <mergeCell ref="L2:L3"/>
    <mergeCell ref="AM2:AN2"/>
    <mergeCell ref="AO2:AQ2"/>
    <mergeCell ref="AS2:AU2"/>
    <mergeCell ref="W2:Y2"/>
    <mergeCell ref="AJ2:AL2"/>
    <mergeCell ref="AE20:AF20"/>
    <mergeCell ref="AG20:AI20"/>
    <mergeCell ref="AJ20:AL20"/>
    <mergeCell ref="G19:G20"/>
    <mergeCell ref="W20:Y20"/>
    <mergeCell ref="M19:M20"/>
    <mergeCell ref="O20:S20"/>
    <mergeCell ref="T20:V20"/>
    <mergeCell ref="I20:J20"/>
    <mergeCell ref="K19:K20"/>
    <mergeCell ref="BC2:BC3"/>
    <mergeCell ref="F1:F3"/>
    <mergeCell ref="N1:N3"/>
    <mergeCell ref="BB2:BB3"/>
    <mergeCell ref="AX2:AX3"/>
    <mergeCell ref="AZ2:BA2"/>
    <mergeCell ref="AV2:AW2"/>
    <mergeCell ref="O2:S2"/>
    <mergeCell ref="O1:BC1"/>
    <mergeCell ref="T2:V2"/>
    <mergeCell ref="Z2:AD2"/>
    <mergeCell ref="AE2:AF2"/>
    <mergeCell ref="AG2:AI2"/>
    <mergeCell ref="AY2:AY3"/>
  </mergeCells>
  <conditionalFormatting sqref="A4:A11 A13 A15:A18">
    <cfRule type="colorScale" priority="2">
      <colorScale>
        <cfvo type="min"/>
        <cfvo type="max"/>
        <color rgb="FF63BE7B"/>
        <color rgb="FFFCFCFF"/>
      </colorScale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{6EA28F23-6E40-417F-958F-2A0C83DCDBF9}</x14:id>
        </ext>
      </extLst>
    </cfRule>
  </conditionalFormatting>
  <conditionalFormatting sqref="O4:R18">
    <cfRule type="cellIs" dxfId="0" priority="1" operator="greaterThan">
      <formula>116.5</formula>
    </cfRule>
  </conditionalFormatting>
  <hyperlinks>
    <hyperlink ref="D18" r:id="rId1" display="https://archive.org/details/throughspainreco00dickrich/page/n13/mode/2up" xr:uid="{F8F4C197-B86C-4A88-9454-070BBDE9B05E}"/>
    <hyperlink ref="D17" r:id="rId2" display="https://www.gutenberg.org/ebooks/7430" xr:uid="{A3E64DCA-0C1C-433B-B9C5-57671E1698C7}"/>
    <hyperlink ref="D16" r:id="rId3" display="https://www.gutenberg.org/ebooks/40201" xr:uid="{B3417A33-7283-4DA0-8A58-C766DDC08B4B}"/>
    <hyperlink ref="D10" r:id="rId4" display="https://archive.org/details/sunshadowinspain00elliuoft" xr:uid="{16F871FF-B329-45D0-9765-BE56976AF287}"/>
    <hyperlink ref="D8" r:id="rId5" display="https://www.gutenberg.org/ebooks/27252" xr:uid="{F4C45436-0220-4498-A238-1B548B991767}"/>
    <hyperlink ref="D7" r:id="rId6" display="https://archive.org/details/atrampinspain00unkngoog/page/n8/mode/2up" xr:uid="{30002C8C-9BAD-4BEA-8919-CA51C49CDC81}"/>
    <hyperlink ref="D6" r:id="rId7" display="https://www.gutenberg.org/ebooks/59944" xr:uid="{C7B6DD7A-44CE-4486-947F-BF56D1A2B16E}"/>
    <hyperlink ref="D4" r:id="rId8" display="https://www.gutenberg.org/ebooks/38767" xr:uid="{E868F1E1-EE13-4C45-AB51-321907689845}"/>
    <hyperlink ref="D9" r:id="rId9" display="https://www.gutenberg.org/ebooks/37944" xr:uid="{1C2A286E-DEA4-436A-8E99-1E75A01C356A}"/>
    <hyperlink ref="D13" r:id="rId10" display="https://www.gutenberg.org/ebooks/41593" xr:uid="{24FBB1FD-5F71-406E-9996-55EFAAF0E665}"/>
    <hyperlink ref="D11" r:id="rId11" display="https://www.gutenberg.org/ebooks/40356" xr:uid="{7D270EC7-504B-41F7-A803-5605346C915C}"/>
    <hyperlink ref="D5" r:id="rId12" display="https://archive.org/details/landofdons00will/page/n19/mode/2up" xr:uid="{57142D7E-5E27-4789-8DD7-7428A7CDA88B}"/>
    <hyperlink ref="D15" r:id="rId13" display="https://www.gutenberg.org/ebooks/40357" xr:uid="{F06DA60A-EF1B-47C3-9ABD-51EE476FA919}"/>
    <hyperlink ref="D12" r:id="rId14" display="https://archive.org/details/spainoftodaynarr00shaw/page/n11/mode/2up" xr:uid="{88EF1BEF-92A3-4849-9717-1E7EFF4876C9}"/>
    <hyperlink ref="D14" r:id="rId15" display="https://www.gutenberg.org/ebooks/author/39917" xr:uid="{C2C82E4F-F1BE-42D8-9AD1-674287806B48}"/>
  </hyperlinks>
  <pageMargins left="0.7" right="0.7" top="0.75" bottom="0.75" header="0.3" footer="0.3"/>
  <pageSetup paperSize="9" orientation="portrait" r:id="rId1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A28F23-6E40-417F-958F-2A0C83DCDB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A4:A11 A13 A15:A18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79E7-DDCD-45EF-A8ED-4BE8202D6AE8}">
  <dimension ref="A1:DZ22"/>
  <sheetViews>
    <sheetView zoomScale="50" zoomScaleNormal="50" workbookViewId="0">
      <selection activeCell="F1" sqref="F1:F3"/>
    </sheetView>
  </sheetViews>
  <sheetFormatPr baseColWidth="10" defaultColWidth="8.88671875" defaultRowHeight="14.4" x14ac:dyDescent="0.3"/>
  <cols>
    <col min="1" max="1" width="79" customWidth="1"/>
    <col min="2" max="2" width="64.44140625" customWidth="1"/>
    <col min="3" max="3" width="26.88671875" customWidth="1"/>
    <col min="4" max="4" width="25.6640625" customWidth="1"/>
    <col min="5" max="5" width="29.21875" customWidth="1"/>
    <col min="6" max="6" width="33.21875" customWidth="1"/>
    <col min="7" max="7" width="15.88671875" customWidth="1"/>
    <col min="8" max="8" width="16.77734375" customWidth="1"/>
    <col min="9" max="9" width="11.88671875" customWidth="1"/>
    <col min="10" max="10" width="14.33203125" customWidth="1"/>
    <col min="11" max="11" width="14.77734375" customWidth="1"/>
    <col min="12" max="12" width="13" customWidth="1"/>
    <col min="13" max="13" width="11.44140625" customWidth="1"/>
    <col min="14" max="15" width="12.5546875" customWidth="1"/>
    <col min="16" max="21" width="11" customWidth="1"/>
    <col min="22" max="22" width="19.88671875" customWidth="1"/>
    <col min="23" max="23" width="17.21875" customWidth="1"/>
    <col min="24" max="24" width="16.5546875" customWidth="1"/>
    <col min="25" max="25" width="15.6640625" customWidth="1"/>
    <col min="26" max="26" width="14.109375" customWidth="1"/>
    <col min="27" max="27" width="12.33203125" customWidth="1"/>
    <col min="28" max="28" width="13.6640625" customWidth="1"/>
    <col min="29" max="29" width="14.5546875" customWidth="1"/>
    <col min="30" max="30" width="17" customWidth="1"/>
    <col min="31" max="31" width="17.6640625" customWidth="1"/>
    <col min="32" max="32" width="14.109375" customWidth="1"/>
    <col min="33" max="33" width="17" customWidth="1"/>
    <col min="34" max="34" width="16.77734375" customWidth="1"/>
    <col min="35" max="35" width="14.109375" customWidth="1"/>
    <col min="36" max="36" width="33.21875" customWidth="1"/>
    <col min="37" max="42" width="11" customWidth="1"/>
    <col min="43" max="43" width="13.21875" customWidth="1"/>
    <col min="44" max="48" width="11" customWidth="1"/>
    <col min="49" max="49" width="15" customWidth="1"/>
    <col min="50" max="50" width="11" customWidth="1"/>
    <col min="51" max="51" width="33.21875" customWidth="1"/>
    <col min="52" max="53" width="13.44140625" customWidth="1"/>
    <col min="54" max="54" width="13.6640625" customWidth="1"/>
    <col min="55" max="55" width="14.109375" customWidth="1"/>
    <col min="56" max="56" width="13.44140625" customWidth="1"/>
    <col min="57" max="57" width="12.109375" customWidth="1"/>
    <col min="58" max="59" width="14.109375" customWidth="1"/>
    <col min="60" max="60" width="13" customWidth="1"/>
    <col min="61" max="64" width="14.109375" customWidth="1"/>
    <col min="65" max="65" width="16.5546875" customWidth="1"/>
    <col min="66" max="66" width="15" customWidth="1"/>
    <col min="67" max="67" width="15.44140625" customWidth="1"/>
    <col min="68" max="68" width="11.6640625" customWidth="1"/>
    <col min="69" max="69" width="16.109375" customWidth="1"/>
    <col min="70" max="70" width="13.6640625" customWidth="1"/>
    <col min="71" max="71" width="12.5546875" customWidth="1"/>
    <col min="72" max="72" width="33.21875" customWidth="1"/>
    <col min="73" max="74" width="11.21875" customWidth="1"/>
    <col min="75" max="75" width="11.6640625" customWidth="1"/>
    <col min="76" max="76" width="12.109375" customWidth="1"/>
    <col min="77" max="77" width="15" customWidth="1"/>
    <col min="78" max="78" width="11.21875" customWidth="1"/>
    <col min="79" max="79" width="13.88671875" customWidth="1"/>
    <col min="80" max="80" width="11.6640625" customWidth="1"/>
    <col min="81" max="81" width="12.33203125" customWidth="1"/>
    <col min="82" max="84" width="14.109375" customWidth="1"/>
    <col min="85" max="85" width="10.109375" customWidth="1"/>
    <col min="86" max="87" width="14.109375" customWidth="1"/>
    <col min="88" max="90" width="14.6640625" customWidth="1"/>
    <col min="91" max="91" width="16.44140625" customWidth="1"/>
    <col min="92" max="92" width="16.6640625" customWidth="1"/>
    <col min="93" max="93" width="13.21875" customWidth="1"/>
    <col min="94" max="94" width="14.5546875" customWidth="1"/>
    <col min="95" max="99" width="14.33203125" customWidth="1"/>
    <col min="100" max="100" width="17.5546875" customWidth="1"/>
    <col min="101" max="101" width="14.88671875" customWidth="1"/>
    <col min="102" max="102" width="13.21875" customWidth="1"/>
    <col min="103" max="103" width="33.21875" customWidth="1"/>
    <col min="104" max="104" width="13.44140625" customWidth="1"/>
    <col min="105" max="105" width="15.88671875" customWidth="1"/>
    <col min="106" max="107" width="12.77734375" customWidth="1"/>
    <col min="108" max="108" width="15.6640625" customWidth="1"/>
    <col min="109" max="109" width="11.88671875" customWidth="1"/>
    <col min="110" max="110" width="18.109375" customWidth="1"/>
  </cols>
  <sheetData>
    <row r="1" spans="1:111" s="318" customFormat="1" ht="40.799999999999997" customHeight="1" thickTop="1" thickBot="1" x14ac:dyDescent="0.45">
      <c r="A1" s="506" t="s">
        <v>0</v>
      </c>
      <c r="B1" s="506"/>
      <c r="C1" s="506"/>
      <c r="D1" s="507"/>
      <c r="E1" s="480" t="s">
        <v>279</v>
      </c>
      <c r="F1" s="398" t="s">
        <v>294</v>
      </c>
      <c r="G1" s="495" t="s">
        <v>280</v>
      </c>
      <c r="H1" s="496"/>
      <c r="I1" s="496"/>
      <c r="J1" s="496"/>
      <c r="K1" s="496"/>
      <c r="L1" s="496"/>
      <c r="M1" s="496"/>
      <c r="N1" s="496"/>
      <c r="O1" s="496"/>
      <c r="P1" s="496"/>
      <c r="Q1" s="496"/>
      <c r="R1" s="496"/>
      <c r="S1" s="496"/>
      <c r="T1" s="496"/>
      <c r="U1" s="496"/>
      <c r="V1" s="496"/>
      <c r="W1" s="496"/>
      <c r="X1" s="496"/>
      <c r="Y1" s="496"/>
      <c r="Z1" s="496"/>
      <c r="AA1" s="496"/>
      <c r="AB1" s="496"/>
      <c r="AC1" s="496"/>
      <c r="AD1" s="496"/>
      <c r="AE1" s="496"/>
      <c r="AF1" s="496"/>
      <c r="AG1" s="496"/>
      <c r="AH1" s="496"/>
      <c r="AI1" s="496"/>
      <c r="AJ1" s="492" t="s">
        <v>294</v>
      </c>
      <c r="AK1" s="495" t="s">
        <v>281</v>
      </c>
      <c r="AL1" s="496"/>
      <c r="AM1" s="496"/>
      <c r="AN1" s="496"/>
      <c r="AO1" s="496"/>
      <c r="AP1" s="496"/>
      <c r="AQ1" s="496"/>
      <c r="AR1" s="496"/>
      <c r="AS1" s="496"/>
      <c r="AT1" s="496"/>
      <c r="AU1" s="496"/>
      <c r="AV1" s="496"/>
      <c r="AW1" s="496"/>
      <c r="AX1" s="496"/>
      <c r="AY1" s="492" t="s">
        <v>294</v>
      </c>
      <c r="AZ1" s="495" t="s">
        <v>284</v>
      </c>
      <c r="BA1" s="496"/>
      <c r="BB1" s="496"/>
      <c r="BC1" s="496"/>
      <c r="BD1" s="496"/>
      <c r="BE1" s="496"/>
      <c r="BF1" s="496"/>
      <c r="BG1" s="496"/>
      <c r="BH1" s="496"/>
      <c r="BI1" s="496"/>
      <c r="BJ1" s="496"/>
      <c r="BK1" s="496"/>
      <c r="BL1" s="496"/>
      <c r="BM1" s="496"/>
      <c r="BN1" s="496"/>
      <c r="BO1" s="496"/>
      <c r="BP1" s="496"/>
      <c r="BQ1" s="496"/>
      <c r="BR1" s="496"/>
      <c r="BS1" s="502"/>
      <c r="BT1" s="492" t="s">
        <v>294</v>
      </c>
      <c r="BU1" s="495" t="s">
        <v>282</v>
      </c>
      <c r="BV1" s="496"/>
      <c r="BW1" s="496"/>
      <c r="BX1" s="496"/>
      <c r="BY1" s="496"/>
      <c r="BZ1" s="496"/>
      <c r="CA1" s="496"/>
      <c r="CB1" s="496"/>
      <c r="CC1" s="496"/>
      <c r="CD1" s="496"/>
      <c r="CE1" s="496"/>
      <c r="CF1" s="496"/>
      <c r="CG1" s="496"/>
      <c r="CH1" s="496"/>
      <c r="CI1" s="496"/>
      <c r="CJ1" s="496"/>
      <c r="CK1" s="496"/>
      <c r="CL1" s="496"/>
      <c r="CM1" s="496"/>
      <c r="CN1" s="496"/>
      <c r="CO1" s="496"/>
      <c r="CP1" s="496"/>
      <c r="CQ1" s="496"/>
      <c r="CR1" s="496"/>
      <c r="CS1" s="496"/>
      <c r="CT1" s="496"/>
      <c r="CU1" s="496"/>
      <c r="CV1" s="496"/>
      <c r="CW1" s="496"/>
      <c r="CX1" s="496"/>
      <c r="CY1" s="492" t="s">
        <v>294</v>
      </c>
      <c r="CZ1" s="495" t="s">
        <v>283</v>
      </c>
      <c r="DA1" s="496"/>
      <c r="DB1" s="496"/>
      <c r="DC1" s="496"/>
      <c r="DD1" s="496"/>
      <c r="DE1" s="496"/>
      <c r="DF1" s="496"/>
      <c r="DG1" s="317"/>
    </row>
    <row r="2" spans="1:111" ht="31.2" customHeight="1" thickTop="1" x14ac:dyDescent="0.3">
      <c r="A2" s="497" t="s">
        <v>1</v>
      </c>
      <c r="B2" s="499" t="s">
        <v>2</v>
      </c>
      <c r="C2" s="499" t="s">
        <v>3</v>
      </c>
      <c r="D2" s="501" t="s">
        <v>4</v>
      </c>
      <c r="E2" s="509"/>
      <c r="F2" s="510"/>
      <c r="G2" s="384" t="s">
        <v>306</v>
      </c>
      <c r="H2" s="385"/>
      <c r="I2" s="385"/>
      <c r="J2" s="385"/>
      <c r="K2" s="385"/>
      <c r="L2" s="385"/>
      <c r="M2" s="385"/>
      <c r="N2" s="384" t="s">
        <v>307</v>
      </c>
      <c r="O2" s="385"/>
      <c r="P2" s="395"/>
      <c r="Q2" s="384" t="s">
        <v>308</v>
      </c>
      <c r="R2" s="385"/>
      <c r="S2" s="395"/>
      <c r="T2" s="384" t="s">
        <v>309</v>
      </c>
      <c r="U2" s="385"/>
      <c r="V2" s="388" t="s">
        <v>310</v>
      </c>
      <c r="W2" s="388" t="s">
        <v>311</v>
      </c>
      <c r="X2" s="388" t="s">
        <v>312</v>
      </c>
      <c r="Y2" s="384" t="s">
        <v>313</v>
      </c>
      <c r="Z2" s="385"/>
      <c r="AA2" s="414" t="s">
        <v>314</v>
      </c>
      <c r="AB2" s="414" t="s">
        <v>315</v>
      </c>
      <c r="AC2" s="384" t="s">
        <v>316</v>
      </c>
      <c r="AD2" s="395"/>
      <c r="AE2" s="388" t="s">
        <v>317</v>
      </c>
      <c r="AF2" s="388" t="s">
        <v>318</v>
      </c>
      <c r="AG2" s="388" t="s">
        <v>319</v>
      </c>
      <c r="AH2" s="414" t="s">
        <v>320</v>
      </c>
      <c r="AI2" s="388" t="s">
        <v>321</v>
      </c>
      <c r="AJ2" s="493"/>
      <c r="AK2" s="384" t="s">
        <v>322</v>
      </c>
      <c r="AL2" s="385"/>
      <c r="AM2" s="385"/>
      <c r="AN2" s="384" t="s">
        <v>323</v>
      </c>
      <c r="AO2" s="385"/>
      <c r="AP2" s="385"/>
      <c r="AQ2" s="385"/>
      <c r="AR2" s="384" t="s">
        <v>324</v>
      </c>
      <c r="AS2" s="385"/>
      <c r="AT2" s="384" t="s">
        <v>325</v>
      </c>
      <c r="AU2" s="385"/>
      <c r="AV2" s="384" t="s">
        <v>326</v>
      </c>
      <c r="AW2" s="385"/>
      <c r="AX2" s="388" t="s">
        <v>327</v>
      </c>
      <c r="AY2" s="493"/>
      <c r="AZ2" s="384" t="s">
        <v>328</v>
      </c>
      <c r="BA2" s="385"/>
      <c r="BB2" s="384" t="s">
        <v>305</v>
      </c>
      <c r="BC2" s="385"/>
      <c r="BD2" s="385"/>
      <c r="BE2" s="395"/>
      <c r="BF2" s="384" t="s">
        <v>329</v>
      </c>
      <c r="BG2" s="385"/>
      <c r="BH2" s="384" t="s">
        <v>330</v>
      </c>
      <c r="BI2" s="385"/>
      <c r="BJ2" s="384" t="s">
        <v>331</v>
      </c>
      <c r="BK2" s="395"/>
      <c r="BL2" s="414" t="s">
        <v>332</v>
      </c>
      <c r="BM2" s="414" t="s">
        <v>333</v>
      </c>
      <c r="BN2" s="414" t="s">
        <v>335</v>
      </c>
      <c r="BO2" s="414" t="s">
        <v>334</v>
      </c>
      <c r="BP2" s="414" t="s">
        <v>336</v>
      </c>
      <c r="BQ2" s="414" t="s">
        <v>337</v>
      </c>
      <c r="BR2" s="414" t="s">
        <v>338</v>
      </c>
      <c r="BS2" s="414" t="s">
        <v>339</v>
      </c>
      <c r="BT2" s="493"/>
      <c r="BU2" s="384" t="s">
        <v>340</v>
      </c>
      <c r="BV2" s="385"/>
      <c r="BW2" s="385"/>
      <c r="BX2" s="385"/>
      <c r="BY2" s="385"/>
      <c r="BZ2" s="385"/>
      <c r="CA2" s="385"/>
      <c r="CB2" s="385"/>
      <c r="CC2" s="384" t="s">
        <v>341</v>
      </c>
      <c r="CD2" s="385"/>
      <c r="CE2" s="385"/>
      <c r="CF2" s="385"/>
      <c r="CG2" s="385"/>
      <c r="CH2" s="385"/>
      <c r="CI2" s="385"/>
      <c r="CJ2" s="395"/>
      <c r="CK2" s="384" t="s">
        <v>342</v>
      </c>
      <c r="CL2" s="385"/>
      <c r="CM2" s="384" t="s">
        <v>343</v>
      </c>
      <c r="CN2" s="385"/>
      <c r="CO2" s="384" t="s">
        <v>344</v>
      </c>
      <c r="CP2" s="385"/>
      <c r="CQ2" s="385"/>
      <c r="CR2" s="385"/>
      <c r="CS2" s="384" t="s">
        <v>345</v>
      </c>
      <c r="CT2" s="395"/>
      <c r="CU2" s="414" t="s">
        <v>346</v>
      </c>
      <c r="CV2" s="384" t="s">
        <v>347</v>
      </c>
      <c r="CW2" s="385"/>
      <c r="CX2" s="388" t="s">
        <v>348</v>
      </c>
      <c r="CY2" s="493"/>
      <c r="CZ2" s="384" t="s">
        <v>349</v>
      </c>
      <c r="DA2" s="385"/>
      <c r="DB2" s="384" t="s">
        <v>350</v>
      </c>
      <c r="DC2" s="395"/>
      <c r="DD2" s="274" t="s">
        <v>351</v>
      </c>
      <c r="DE2" s="384" t="s">
        <v>352</v>
      </c>
      <c r="DF2" s="385"/>
      <c r="DG2" s="232"/>
    </row>
    <row r="3" spans="1:111" ht="40.799999999999997" customHeight="1" thickBot="1" x14ac:dyDescent="0.35">
      <c r="A3" s="498"/>
      <c r="B3" s="500"/>
      <c r="C3" s="500"/>
      <c r="D3" s="413"/>
      <c r="E3" s="389"/>
      <c r="F3" s="511"/>
      <c r="G3" s="279" t="s">
        <v>204</v>
      </c>
      <c r="H3" s="283" t="s">
        <v>214</v>
      </c>
      <c r="I3" s="283" t="s">
        <v>275</v>
      </c>
      <c r="J3" s="283" t="s">
        <v>222</v>
      </c>
      <c r="K3" s="284" t="s">
        <v>262</v>
      </c>
      <c r="L3" s="284" t="s">
        <v>55</v>
      </c>
      <c r="M3" s="284" t="s">
        <v>253</v>
      </c>
      <c r="N3" s="282" t="s">
        <v>80</v>
      </c>
      <c r="O3" s="18" t="s">
        <v>79</v>
      </c>
      <c r="P3" s="296" t="s">
        <v>209</v>
      </c>
      <c r="Q3" s="284" t="s">
        <v>229</v>
      </c>
      <c r="R3" s="283" t="s">
        <v>225</v>
      </c>
      <c r="S3" s="296" t="s">
        <v>257</v>
      </c>
      <c r="T3" s="49" t="s">
        <v>226</v>
      </c>
      <c r="U3" s="41" t="s">
        <v>54</v>
      </c>
      <c r="V3" s="389"/>
      <c r="W3" s="389"/>
      <c r="X3" s="389"/>
      <c r="Y3" s="282" t="s">
        <v>233</v>
      </c>
      <c r="Z3" s="41" t="s">
        <v>234</v>
      </c>
      <c r="AA3" s="415"/>
      <c r="AB3" s="415"/>
      <c r="AC3" s="282" t="s">
        <v>83</v>
      </c>
      <c r="AD3" s="284" t="s">
        <v>269</v>
      </c>
      <c r="AE3" s="389"/>
      <c r="AF3" s="389"/>
      <c r="AG3" s="389"/>
      <c r="AH3" s="415"/>
      <c r="AI3" s="389"/>
      <c r="AJ3" s="494"/>
      <c r="AK3" s="279" t="s">
        <v>95</v>
      </c>
      <c r="AL3" s="284" t="s">
        <v>51</v>
      </c>
      <c r="AM3" s="283" t="s">
        <v>104</v>
      </c>
      <c r="AN3" s="279" t="s">
        <v>93</v>
      </c>
      <c r="AO3" s="283" t="s">
        <v>235</v>
      </c>
      <c r="AP3" s="284" t="s">
        <v>273</v>
      </c>
      <c r="AQ3" s="284" t="s">
        <v>47</v>
      </c>
      <c r="AR3" s="279" t="s">
        <v>232</v>
      </c>
      <c r="AS3" s="284" t="s">
        <v>254</v>
      </c>
      <c r="AT3" s="279" t="s">
        <v>230</v>
      </c>
      <c r="AU3" s="284" t="s">
        <v>231</v>
      </c>
      <c r="AV3" s="279" t="s">
        <v>81</v>
      </c>
      <c r="AW3" s="284" t="s">
        <v>82</v>
      </c>
      <c r="AX3" s="389"/>
      <c r="AY3" s="494"/>
      <c r="AZ3" s="279" t="s">
        <v>202</v>
      </c>
      <c r="BA3" s="284" t="s">
        <v>201</v>
      </c>
      <c r="BB3" s="279" t="s">
        <v>210</v>
      </c>
      <c r="BC3" s="284" t="s">
        <v>213</v>
      </c>
      <c r="BD3" s="18" t="s">
        <v>211</v>
      </c>
      <c r="BE3" s="296" t="s">
        <v>212</v>
      </c>
      <c r="BF3" s="282" t="s">
        <v>246</v>
      </c>
      <c r="BG3" s="52" t="s">
        <v>250</v>
      </c>
      <c r="BH3" s="279" t="s">
        <v>217</v>
      </c>
      <c r="BI3" s="284" t="s">
        <v>218</v>
      </c>
      <c r="BJ3" s="282" t="s">
        <v>242</v>
      </c>
      <c r="BK3" s="296" t="s">
        <v>241</v>
      </c>
      <c r="BL3" s="415"/>
      <c r="BM3" s="415"/>
      <c r="BN3" s="415"/>
      <c r="BO3" s="415"/>
      <c r="BP3" s="415"/>
      <c r="BQ3" s="415"/>
      <c r="BR3" s="415"/>
      <c r="BS3" s="415"/>
      <c r="BT3" s="494"/>
      <c r="BU3" s="279" t="s">
        <v>200</v>
      </c>
      <c r="BV3" s="280" t="s">
        <v>220</v>
      </c>
      <c r="BW3" s="280" t="s">
        <v>208</v>
      </c>
      <c r="BX3" s="280" t="s">
        <v>219</v>
      </c>
      <c r="BY3" s="280" t="s">
        <v>247</v>
      </c>
      <c r="BZ3" s="280" t="s">
        <v>265</v>
      </c>
      <c r="CA3" s="280" t="s">
        <v>255</v>
      </c>
      <c r="CB3" s="281" t="s">
        <v>56</v>
      </c>
      <c r="CC3" s="282" t="s">
        <v>216</v>
      </c>
      <c r="CD3" s="283" t="s">
        <v>248</v>
      </c>
      <c r="CE3" s="283" t="s">
        <v>223</v>
      </c>
      <c r="CF3" s="283" t="s">
        <v>227</v>
      </c>
      <c r="CG3" s="283" t="s">
        <v>215</v>
      </c>
      <c r="CH3" s="283" t="s">
        <v>260</v>
      </c>
      <c r="CI3" s="283" t="s">
        <v>272</v>
      </c>
      <c r="CJ3" s="296" t="s">
        <v>259</v>
      </c>
      <c r="CK3" s="279" t="s">
        <v>199</v>
      </c>
      <c r="CL3" s="280" t="s">
        <v>228</v>
      </c>
      <c r="CM3" s="279" t="s">
        <v>203</v>
      </c>
      <c r="CN3" s="283" t="s">
        <v>221</v>
      </c>
      <c r="CO3" s="279" t="s">
        <v>243</v>
      </c>
      <c r="CP3" s="283" t="s">
        <v>244</v>
      </c>
      <c r="CQ3" s="283" t="s">
        <v>252</v>
      </c>
      <c r="CR3" s="283" t="s">
        <v>256</v>
      </c>
      <c r="CS3" s="282" t="s">
        <v>236</v>
      </c>
      <c r="CT3" s="284" t="s">
        <v>249</v>
      </c>
      <c r="CU3" s="415"/>
      <c r="CV3" s="279" t="s">
        <v>237</v>
      </c>
      <c r="CW3" s="284" t="s">
        <v>276</v>
      </c>
      <c r="CX3" s="389"/>
      <c r="CY3" s="494"/>
      <c r="CZ3" s="279" t="s">
        <v>205</v>
      </c>
      <c r="DA3" s="283" t="s">
        <v>206</v>
      </c>
      <c r="DB3" s="279" t="s">
        <v>207</v>
      </c>
      <c r="DC3" s="283" t="s">
        <v>240</v>
      </c>
      <c r="DD3" s="282" t="s">
        <v>224</v>
      </c>
      <c r="DE3" s="282" t="s">
        <v>239</v>
      </c>
      <c r="DF3" s="18" t="s">
        <v>238</v>
      </c>
      <c r="DG3" s="232"/>
    </row>
    <row r="4" spans="1:111" ht="34.799999999999997" customHeight="1" thickTop="1" x14ac:dyDescent="0.5">
      <c r="A4" s="9" t="s">
        <v>5</v>
      </c>
      <c r="B4" s="10" t="s">
        <v>6</v>
      </c>
      <c r="C4" s="11">
        <v>1900</v>
      </c>
      <c r="D4" s="53" t="s">
        <v>7</v>
      </c>
      <c r="E4" s="84" t="s">
        <v>245</v>
      </c>
      <c r="F4" s="265" t="s">
        <v>285</v>
      </c>
      <c r="G4" s="86">
        <v>10</v>
      </c>
      <c r="H4" s="239">
        <v>5</v>
      </c>
      <c r="I4" s="221"/>
      <c r="J4" s="221">
        <v>3</v>
      </c>
      <c r="K4" s="222"/>
      <c r="L4" s="222"/>
      <c r="M4" s="222"/>
      <c r="N4" s="253">
        <v>7</v>
      </c>
      <c r="O4" s="221">
        <v>1</v>
      </c>
      <c r="P4" s="328"/>
      <c r="Q4" s="222">
        <v>2</v>
      </c>
      <c r="R4" s="239">
        <v>3</v>
      </c>
      <c r="S4" s="328"/>
      <c r="T4" s="298">
        <v>2</v>
      </c>
      <c r="U4" s="222"/>
      <c r="V4" s="253"/>
      <c r="W4" s="253"/>
      <c r="X4" s="253"/>
      <c r="Y4" s="253"/>
      <c r="Z4" s="222">
        <v>1</v>
      </c>
      <c r="AA4" s="253"/>
      <c r="AB4" s="302">
        <v>2</v>
      </c>
      <c r="AC4" s="253"/>
      <c r="AD4" s="222"/>
      <c r="AE4" s="253">
        <v>1</v>
      </c>
      <c r="AF4" s="253"/>
      <c r="AG4" s="253"/>
      <c r="AH4" s="258"/>
      <c r="AI4" s="253"/>
      <c r="AJ4" s="313" t="s">
        <v>285</v>
      </c>
      <c r="AK4" s="298">
        <v>3</v>
      </c>
      <c r="AL4" s="222"/>
      <c r="AM4" s="221">
        <v>1</v>
      </c>
      <c r="AN4" s="86">
        <v>4</v>
      </c>
      <c r="AO4" s="221"/>
      <c r="AP4" s="222"/>
      <c r="AQ4" s="222"/>
      <c r="AR4" s="298">
        <v>1</v>
      </c>
      <c r="AS4" s="222"/>
      <c r="AT4" s="298"/>
      <c r="AU4" s="222"/>
      <c r="AV4" s="298"/>
      <c r="AW4" s="222">
        <v>1</v>
      </c>
      <c r="AX4" s="230"/>
      <c r="AY4" s="313" t="s">
        <v>285</v>
      </c>
      <c r="AZ4" s="298">
        <v>5</v>
      </c>
      <c r="BA4" s="322">
        <v>11</v>
      </c>
      <c r="BB4" s="298"/>
      <c r="BC4" s="323">
        <v>6</v>
      </c>
      <c r="BD4" s="356">
        <v>6</v>
      </c>
      <c r="BE4" s="328">
        <v>2</v>
      </c>
      <c r="BF4" s="253">
        <v>4</v>
      </c>
      <c r="BG4" s="328"/>
      <c r="BH4" s="86">
        <v>5</v>
      </c>
      <c r="BI4" s="222"/>
      <c r="BJ4" s="253">
        <v>1</v>
      </c>
      <c r="BK4" s="328">
        <v>1</v>
      </c>
      <c r="BL4" s="253"/>
      <c r="BM4" s="258">
        <v>1</v>
      </c>
      <c r="BN4" s="253"/>
      <c r="BO4" s="253"/>
      <c r="BP4" s="253"/>
      <c r="BQ4" s="258"/>
      <c r="BR4" s="258"/>
      <c r="BS4" s="258"/>
      <c r="BT4" s="313" t="s">
        <v>303</v>
      </c>
      <c r="BU4" s="214">
        <v>13</v>
      </c>
      <c r="BV4" s="215">
        <v>4</v>
      </c>
      <c r="BW4" s="341">
        <v>8</v>
      </c>
      <c r="BX4" s="338">
        <v>4</v>
      </c>
      <c r="BY4" s="215"/>
      <c r="BZ4" s="215"/>
      <c r="CA4" s="215"/>
      <c r="CB4" s="358"/>
      <c r="CC4" s="230">
        <v>5</v>
      </c>
      <c r="CD4" s="345">
        <v>7</v>
      </c>
      <c r="CE4" s="216">
        <v>3</v>
      </c>
      <c r="CF4" s="216">
        <v>2</v>
      </c>
      <c r="CG4" s="347">
        <v>5</v>
      </c>
      <c r="CH4" s="216"/>
      <c r="CI4" s="216"/>
      <c r="CJ4" s="326"/>
      <c r="CK4" s="343">
        <v>22</v>
      </c>
      <c r="CL4" s="215">
        <v>2</v>
      </c>
      <c r="CM4" s="348">
        <v>11</v>
      </c>
      <c r="CN4" s="345">
        <v>4</v>
      </c>
      <c r="CO4" s="214">
        <v>1</v>
      </c>
      <c r="CP4" s="216"/>
      <c r="CQ4" s="216"/>
      <c r="CR4" s="216"/>
      <c r="CS4" s="230">
        <v>5</v>
      </c>
      <c r="CT4" s="217">
        <v>1</v>
      </c>
      <c r="CU4" s="230">
        <v>1</v>
      </c>
      <c r="CV4" s="214">
        <v>1</v>
      </c>
      <c r="CW4" s="217"/>
      <c r="CX4" s="230"/>
      <c r="CY4" s="313" t="s">
        <v>303</v>
      </c>
      <c r="CZ4" s="214">
        <v>3</v>
      </c>
      <c r="DA4" s="345">
        <v>9</v>
      </c>
      <c r="DB4" s="214">
        <v>2</v>
      </c>
      <c r="DC4" s="216">
        <v>1</v>
      </c>
      <c r="DD4" s="230">
        <v>3</v>
      </c>
      <c r="DE4" s="230"/>
      <c r="DF4" s="216">
        <v>1</v>
      </c>
      <c r="DG4" s="232"/>
    </row>
    <row r="5" spans="1:111" ht="33.6" customHeight="1" x14ac:dyDescent="0.5">
      <c r="A5" s="13" t="s">
        <v>8</v>
      </c>
      <c r="B5" s="3" t="s">
        <v>9</v>
      </c>
      <c r="C5" s="2">
        <v>1902</v>
      </c>
      <c r="D5" s="54" t="s">
        <v>10</v>
      </c>
      <c r="E5" s="85" t="s">
        <v>251</v>
      </c>
      <c r="F5" s="263" t="s">
        <v>299</v>
      </c>
      <c r="G5" s="88"/>
      <c r="H5" s="223"/>
      <c r="I5" s="223"/>
      <c r="J5" s="223"/>
      <c r="K5" s="90"/>
      <c r="L5" s="90"/>
      <c r="M5" s="90"/>
      <c r="N5" s="249">
        <v>4</v>
      </c>
      <c r="O5" s="223"/>
      <c r="P5" s="329"/>
      <c r="Q5" s="90"/>
      <c r="R5" s="223">
        <v>1</v>
      </c>
      <c r="S5" s="329"/>
      <c r="T5" s="88">
        <v>2</v>
      </c>
      <c r="U5" s="90"/>
      <c r="V5" s="249">
        <v>1</v>
      </c>
      <c r="W5" s="249"/>
      <c r="X5" s="249"/>
      <c r="Y5" s="249">
        <v>1</v>
      </c>
      <c r="Z5" s="90"/>
      <c r="AA5" s="249"/>
      <c r="AB5" s="259"/>
      <c r="AC5" s="249"/>
      <c r="AD5" s="90"/>
      <c r="AE5" s="249"/>
      <c r="AF5" s="249"/>
      <c r="AG5" s="249"/>
      <c r="AH5" s="259"/>
      <c r="AI5" s="249">
        <v>1</v>
      </c>
      <c r="AJ5" s="314" t="s">
        <v>299</v>
      </c>
      <c r="AK5" s="88"/>
      <c r="AL5" s="90"/>
      <c r="AM5" s="223"/>
      <c r="AN5" s="88">
        <v>1</v>
      </c>
      <c r="AO5" s="223"/>
      <c r="AP5" s="90"/>
      <c r="AQ5" s="90"/>
      <c r="AR5" s="88"/>
      <c r="AS5" s="90"/>
      <c r="AT5" s="241">
        <v>3</v>
      </c>
      <c r="AU5" s="90"/>
      <c r="AV5" s="88"/>
      <c r="AW5" s="90"/>
      <c r="AX5" s="70"/>
      <c r="AY5" s="314" t="s">
        <v>299</v>
      </c>
      <c r="AZ5" s="247">
        <v>14</v>
      </c>
      <c r="BA5" s="90">
        <v>1</v>
      </c>
      <c r="BB5" s="88">
        <v>4</v>
      </c>
      <c r="BC5" s="90">
        <v>1</v>
      </c>
      <c r="BD5" s="223">
        <v>2</v>
      </c>
      <c r="BE5" s="329"/>
      <c r="BF5" s="254">
        <v>24</v>
      </c>
      <c r="BG5" s="329">
        <v>1</v>
      </c>
      <c r="BH5" s="88"/>
      <c r="BI5" s="90"/>
      <c r="BJ5" s="249"/>
      <c r="BK5" s="329"/>
      <c r="BL5" s="249">
        <v>1</v>
      </c>
      <c r="BM5" s="259"/>
      <c r="BN5" s="249"/>
      <c r="BO5" s="249"/>
      <c r="BP5" s="249"/>
      <c r="BQ5" s="259">
        <v>1</v>
      </c>
      <c r="BR5" s="259">
        <v>1</v>
      </c>
      <c r="BS5" s="259">
        <v>1</v>
      </c>
      <c r="BT5" s="314" t="s">
        <v>288</v>
      </c>
      <c r="BU5" s="71">
        <v>1</v>
      </c>
      <c r="BV5" s="76"/>
      <c r="BW5" s="76"/>
      <c r="BX5" s="76">
        <v>1</v>
      </c>
      <c r="BY5" s="76">
        <v>3</v>
      </c>
      <c r="BZ5" s="76"/>
      <c r="CA5" s="76"/>
      <c r="CB5" s="75"/>
      <c r="CC5" s="70">
        <v>1</v>
      </c>
      <c r="CD5" s="72">
        <v>3</v>
      </c>
      <c r="CE5" s="72">
        <v>2</v>
      </c>
      <c r="CF5" s="72"/>
      <c r="CG5" s="72"/>
      <c r="CH5" s="72"/>
      <c r="CI5" s="72"/>
      <c r="CJ5" s="74"/>
      <c r="CK5" s="71">
        <v>1</v>
      </c>
      <c r="CL5" s="76"/>
      <c r="CM5" s="71">
        <v>1</v>
      </c>
      <c r="CN5" s="72">
        <v>1</v>
      </c>
      <c r="CO5" s="71">
        <v>1</v>
      </c>
      <c r="CP5" s="72"/>
      <c r="CQ5" s="72"/>
      <c r="CR5" s="72"/>
      <c r="CS5" s="70"/>
      <c r="CT5" s="73">
        <v>1</v>
      </c>
      <c r="CU5" s="70"/>
      <c r="CV5" s="71"/>
      <c r="CW5" s="73"/>
      <c r="CX5" s="70"/>
      <c r="CY5" s="314" t="s">
        <v>288</v>
      </c>
      <c r="CZ5" s="71">
        <v>4</v>
      </c>
      <c r="DA5" s="72">
        <v>5</v>
      </c>
      <c r="DB5" s="71">
        <v>1</v>
      </c>
      <c r="DC5" s="72"/>
      <c r="DD5" s="70">
        <v>1</v>
      </c>
      <c r="DE5" s="70">
        <v>1</v>
      </c>
      <c r="DF5" s="72"/>
      <c r="DG5" s="232"/>
    </row>
    <row r="6" spans="1:111" ht="30.6" customHeight="1" x14ac:dyDescent="0.5">
      <c r="A6" s="13" t="s">
        <v>11</v>
      </c>
      <c r="B6" s="3" t="s">
        <v>12</v>
      </c>
      <c r="C6" s="2">
        <v>1903</v>
      </c>
      <c r="D6" s="55" t="s">
        <v>7</v>
      </c>
      <c r="E6" s="85" t="s">
        <v>258</v>
      </c>
      <c r="F6" s="263" t="s">
        <v>295</v>
      </c>
      <c r="G6" s="88"/>
      <c r="H6" s="223">
        <v>1</v>
      </c>
      <c r="I6" s="223"/>
      <c r="J6" s="223">
        <v>2</v>
      </c>
      <c r="K6" s="90"/>
      <c r="L6" s="90"/>
      <c r="M6" s="90">
        <v>2</v>
      </c>
      <c r="N6" s="249">
        <v>1</v>
      </c>
      <c r="O6" s="223"/>
      <c r="P6" s="329"/>
      <c r="Q6" s="90"/>
      <c r="R6" s="223"/>
      <c r="S6" s="329">
        <v>1</v>
      </c>
      <c r="T6" s="88"/>
      <c r="U6" s="90"/>
      <c r="V6" s="249"/>
      <c r="W6" s="249"/>
      <c r="X6" s="249"/>
      <c r="Y6" s="249"/>
      <c r="Z6" s="90"/>
      <c r="AA6" s="249"/>
      <c r="AB6" s="259"/>
      <c r="AC6" s="249"/>
      <c r="AD6" s="90"/>
      <c r="AE6" s="249"/>
      <c r="AF6" s="249"/>
      <c r="AG6" s="249"/>
      <c r="AH6" s="259"/>
      <c r="AI6" s="249"/>
      <c r="AJ6" s="314" t="s">
        <v>295</v>
      </c>
      <c r="AK6" s="88"/>
      <c r="AL6" s="90"/>
      <c r="AM6" s="223"/>
      <c r="AN6" s="241">
        <v>4</v>
      </c>
      <c r="AO6" s="242">
        <v>2</v>
      </c>
      <c r="AP6" s="90"/>
      <c r="AQ6" s="90"/>
      <c r="AR6" s="88"/>
      <c r="AS6" s="90">
        <v>1</v>
      </c>
      <c r="AT6" s="88"/>
      <c r="AU6" s="90"/>
      <c r="AV6" s="88"/>
      <c r="AW6" s="90"/>
      <c r="AX6" s="70"/>
      <c r="AY6" s="314" t="s">
        <v>295</v>
      </c>
      <c r="AZ6" s="88">
        <v>1</v>
      </c>
      <c r="BA6" s="90">
        <v>2</v>
      </c>
      <c r="BB6" s="88"/>
      <c r="BC6" s="90">
        <v>1</v>
      </c>
      <c r="BD6" s="223"/>
      <c r="BE6" s="329"/>
      <c r="BF6" s="249"/>
      <c r="BG6" s="329"/>
      <c r="BH6" s="88"/>
      <c r="BI6" s="90"/>
      <c r="BJ6" s="249"/>
      <c r="BK6" s="329"/>
      <c r="BL6" s="249"/>
      <c r="BM6" s="259"/>
      <c r="BN6" s="249"/>
      <c r="BO6" s="249"/>
      <c r="BP6" s="249"/>
      <c r="BQ6" s="259"/>
      <c r="BR6" s="259"/>
      <c r="BS6" s="259"/>
      <c r="BT6" s="314" t="s">
        <v>286</v>
      </c>
      <c r="BU6" s="71">
        <v>9</v>
      </c>
      <c r="BV6" s="76">
        <v>2</v>
      </c>
      <c r="BW6" s="76">
        <v>3</v>
      </c>
      <c r="BX6" s="76">
        <v>3</v>
      </c>
      <c r="BY6" s="76"/>
      <c r="BZ6" s="76"/>
      <c r="CA6" s="76">
        <v>1</v>
      </c>
      <c r="CB6" s="75"/>
      <c r="CC6" s="70">
        <v>6</v>
      </c>
      <c r="CD6" s="106">
        <v>7</v>
      </c>
      <c r="CE6" s="72">
        <v>2</v>
      </c>
      <c r="CF6" s="72">
        <v>2</v>
      </c>
      <c r="CG6" s="72"/>
      <c r="CH6" s="72"/>
      <c r="CI6" s="72"/>
      <c r="CJ6" s="74"/>
      <c r="CK6" s="71">
        <v>10</v>
      </c>
      <c r="CL6" s="76">
        <v>3</v>
      </c>
      <c r="CM6" s="71">
        <v>4</v>
      </c>
      <c r="CN6" s="72"/>
      <c r="CO6" s="105">
        <v>13</v>
      </c>
      <c r="CP6" s="106">
        <v>3</v>
      </c>
      <c r="CQ6" s="72">
        <v>2</v>
      </c>
      <c r="CR6" s="72">
        <v>1</v>
      </c>
      <c r="CS6" s="70">
        <v>1</v>
      </c>
      <c r="CT6" s="73"/>
      <c r="CU6" s="70"/>
      <c r="CV6" s="71">
        <v>1</v>
      </c>
      <c r="CW6" s="73"/>
      <c r="CX6" s="70"/>
      <c r="CY6" s="314" t="s">
        <v>286</v>
      </c>
      <c r="CZ6" s="71">
        <v>1</v>
      </c>
      <c r="DA6" s="72">
        <v>3</v>
      </c>
      <c r="DB6" s="71">
        <v>1</v>
      </c>
      <c r="DC6" s="72">
        <v>3</v>
      </c>
      <c r="DD6" s="70">
        <v>1</v>
      </c>
      <c r="DE6" s="70"/>
      <c r="DF6" s="72"/>
      <c r="DG6" s="232"/>
    </row>
    <row r="7" spans="1:111" ht="33.6" customHeight="1" x14ac:dyDescent="0.5">
      <c r="A7" s="13" t="s">
        <v>13</v>
      </c>
      <c r="B7" s="3" t="s">
        <v>14</v>
      </c>
      <c r="C7" s="2">
        <v>1904</v>
      </c>
      <c r="D7" s="55" t="s">
        <v>15</v>
      </c>
      <c r="E7" s="85" t="s">
        <v>261</v>
      </c>
      <c r="F7" s="263" t="s">
        <v>292</v>
      </c>
      <c r="G7" s="241">
        <v>11</v>
      </c>
      <c r="H7" s="242">
        <v>9</v>
      </c>
      <c r="I7" s="223"/>
      <c r="J7" s="223"/>
      <c r="K7" s="90"/>
      <c r="L7" s="90"/>
      <c r="M7" s="90"/>
      <c r="N7" s="249">
        <v>12</v>
      </c>
      <c r="O7" s="223">
        <v>1</v>
      </c>
      <c r="P7" s="329"/>
      <c r="Q7" s="244">
        <v>3</v>
      </c>
      <c r="R7" s="223"/>
      <c r="S7" s="329"/>
      <c r="T7" s="88">
        <v>1</v>
      </c>
      <c r="U7" s="90"/>
      <c r="V7" s="299">
        <v>5</v>
      </c>
      <c r="W7" s="249">
        <v>1</v>
      </c>
      <c r="X7" s="249"/>
      <c r="Y7" s="249"/>
      <c r="Z7" s="90"/>
      <c r="AA7" s="249"/>
      <c r="AB7" s="259"/>
      <c r="AC7" s="249"/>
      <c r="AD7" s="90"/>
      <c r="AE7" s="249"/>
      <c r="AF7" s="249"/>
      <c r="AG7" s="249"/>
      <c r="AH7" s="259"/>
      <c r="AI7" s="249"/>
      <c r="AJ7" s="314" t="s">
        <v>292</v>
      </c>
      <c r="AK7" s="241">
        <v>6</v>
      </c>
      <c r="AL7" s="246">
        <v>8</v>
      </c>
      <c r="AM7" s="223"/>
      <c r="AN7" s="88"/>
      <c r="AO7" s="223"/>
      <c r="AP7" s="90"/>
      <c r="AQ7" s="90"/>
      <c r="AR7" s="247">
        <v>6</v>
      </c>
      <c r="AS7" s="90"/>
      <c r="AT7" s="88"/>
      <c r="AU7" s="90"/>
      <c r="AV7" s="88"/>
      <c r="AW7" s="90"/>
      <c r="AX7" s="70"/>
      <c r="AY7" s="314" t="s">
        <v>292</v>
      </c>
      <c r="AZ7" s="247">
        <v>14</v>
      </c>
      <c r="BA7" s="90">
        <v>4</v>
      </c>
      <c r="BB7" s="88">
        <v>2</v>
      </c>
      <c r="BC7" s="90"/>
      <c r="BD7" s="223">
        <v>1</v>
      </c>
      <c r="BE7" s="329"/>
      <c r="BF7" s="249">
        <v>4</v>
      </c>
      <c r="BG7" s="329"/>
      <c r="BH7" s="88"/>
      <c r="BI7" s="90"/>
      <c r="BJ7" s="249"/>
      <c r="BK7" s="329"/>
      <c r="BL7" s="249"/>
      <c r="BM7" s="259"/>
      <c r="BN7" s="249">
        <v>1</v>
      </c>
      <c r="BO7" s="249"/>
      <c r="BP7" s="249"/>
      <c r="BQ7" s="259"/>
      <c r="BR7" s="259"/>
      <c r="BS7" s="259"/>
      <c r="BT7" s="314" t="s">
        <v>302</v>
      </c>
      <c r="BU7" s="105">
        <v>32</v>
      </c>
      <c r="BV7" s="76">
        <v>4</v>
      </c>
      <c r="BW7" s="76"/>
      <c r="BX7" s="340">
        <v>5</v>
      </c>
      <c r="BY7" s="76"/>
      <c r="BZ7" s="76"/>
      <c r="CA7" s="76"/>
      <c r="CB7" s="75"/>
      <c r="CC7" s="136">
        <v>14</v>
      </c>
      <c r="CD7" s="72">
        <v>2</v>
      </c>
      <c r="CE7" s="106">
        <v>4</v>
      </c>
      <c r="CF7" s="72">
        <v>2</v>
      </c>
      <c r="CG7" s="72"/>
      <c r="CH7" s="72">
        <v>1</v>
      </c>
      <c r="CI7" s="72"/>
      <c r="CJ7" s="74">
        <v>1</v>
      </c>
      <c r="CK7" s="103">
        <v>22</v>
      </c>
      <c r="CL7" s="337">
        <v>5</v>
      </c>
      <c r="CM7" s="71">
        <v>4</v>
      </c>
      <c r="CN7" s="72"/>
      <c r="CO7" s="71">
        <v>7</v>
      </c>
      <c r="CP7" s="72"/>
      <c r="CQ7" s="72"/>
      <c r="CR7" s="72"/>
      <c r="CS7" s="272">
        <v>10</v>
      </c>
      <c r="CT7" s="109">
        <v>4</v>
      </c>
      <c r="CU7" s="70"/>
      <c r="CV7" s="71"/>
      <c r="CW7" s="73"/>
      <c r="CX7" s="70"/>
      <c r="CY7" s="314" t="s">
        <v>302</v>
      </c>
      <c r="CZ7" s="71">
        <v>5</v>
      </c>
      <c r="DA7" s="72">
        <v>3</v>
      </c>
      <c r="DB7" s="105">
        <v>16</v>
      </c>
      <c r="DC7" s="72">
        <v>9</v>
      </c>
      <c r="DD7" s="70"/>
      <c r="DE7" s="70"/>
      <c r="DF7" s="72"/>
      <c r="DG7" s="232"/>
    </row>
    <row r="8" spans="1:111" ht="34.200000000000003" customHeight="1" thickBot="1" x14ac:dyDescent="0.55000000000000004">
      <c r="A8" s="14" t="s">
        <v>16</v>
      </c>
      <c r="B8" s="15" t="s">
        <v>17</v>
      </c>
      <c r="C8" s="16">
        <v>1905</v>
      </c>
      <c r="D8" s="56" t="s">
        <v>7</v>
      </c>
      <c r="E8" s="85" t="s">
        <v>263</v>
      </c>
      <c r="F8" s="264" t="s">
        <v>298</v>
      </c>
      <c r="G8" s="128">
        <v>18</v>
      </c>
      <c r="H8" s="240">
        <v>13</v>
      </c>
      <c r="I8" s="224"/>
      <c r="J8" s="240">
        <v>6</v>
      </c>
      <c r="K8" s="93">
        <v>1</v>
      </c>
      <c r="L8" s="93"/>
      <c r="M8" s="93">
        <v>1</v>
      </c>
      <c r="N8" s="352">
        <v>17</v>
      </c>
      <c r="O8" s="224">
        <v>1</v>
      </c>
      <c r="P8" s="330">
        <v>1</v>
      </c>
      <c r="Q8" s="93">
        <v>2</v>
      </c>
      <c r="R8" s="224">
        <v>2</v>
      </c>
      <c r="S8" s="330">
        <v>2</v>
      </c>
      <c r="T8" s="128">
        <v>8</v>
      </c>
      <c r="U8" s="93"/>
      <c r="V8" s="300">
        <v>6</v>
      </c>
      <c r="W8" s="250">
        <v>3</v>
      </c>
      <c r="X8" s="250"/>
      <c r="Y8" s="250"/>
      <c r="Z8" s="93"/>
      <c r="AA8" s="250">
        <v>1</v>
      </c>
      <c r="AB8" s="260"/>
      <c r="AC8" s="250"/>
      <c r="AD8" s="93"/>
      <c r="AE8" s="250"/>
      <c r="AF8" s="250"/>
      <c r="AG8" s="250"/>
      <c r="AH8" s="260"/>
      <c r="AI8" s="250"/>
      <c r="AJ8" s="315" t="s">
        <v>298</v>
      </c>
      <c r="AK8" s="128">
        <v>8</v>
      </c>
      <c r="AL8" s="93">
        <v>3</v>
      </c>
      <c r="AM8" s="240">
        <v>2</v>
      </c>
      <c r="AN8" s="91">
        <v>1</v>
      </c>
      <c r="AO8" s="224"/>
      <c r="AP8" s="93"/>
      <c r="AQ8" s="93"/>
      <c r="AR8" s="91"/>
      <c r="AS8" s="93"/>
      <c r="AT8" s="128">
        <v>5</v>
      </c>
      <c r="AU8" s="93">
        <v>2</v>
      </c>
      <c r="AV8" s="128">
        <v>3</v>
      </c>
      <c r="AW8" s="93"/>
      <c r="AX8" s="77"/>
      <c r="AY8" s="315" t="s">
        <v>298</v>
      </c>
      <c r="AZ8" s="91">
        <v>2</v>
      </c>
      <c r="BA8" s="93">
        <v>1</v>
      </c>
      <c r="BB8" s="319">
        <v>5</v>
      </c>
      <c r="BC8" s="93">
        <v>4</v>
      </c>
      <c r="BD8" s="333">
        <v>4</v>
      </c>
      <c r="BE8" s="330">
        <v>2</v>
      </c>
      <c r="BF8" s="334">
        <v>8</v>
      </c>
      <c r="BG8" s="330"/>
      <c r="BH8" s="91">
        <v>1</v>
      </c>
      <c r="BI8" s="93">
        <v>1</v>
      </c>
      <c r="BJ8" s="250">
        <v>1</v>
      </c>
      <c r="BK8" s="330"/>
      <c r="BL8" s="334">
        <v>3</v>
      </c>
      <c r="BM8" s="336">
        <v>6</v>
      </c>
      <c r="BN8" s="250"/>
      <c r="BO8" s="250"/>
      <c r="BP8" s="250"/>
      <c r="BQ8" s="260"/>
      <c r="BR8" s="260"/>
      <c r="BS8" s="260"/>
      <c r="BT8" s="315" t="s">
        <v>291</v>
      </c>
      <c r="BU8" s="79">
        <v>15</v>
      </c>
      <c r="BV8" s="342">
        <v>10</v>
      </c>
      <c r="BW8" s="81">
        <v>2</v>
      </c>
      <c r="BX8" s="81">
        <v>1</v>
      </c>
      <c r="BY8" s="339">
        <v>4</v>
      </c>
      <c r="BZ8" s="81"/>
      <c r="CA8" s="81"/>
      <c r="CB8" s="80">
        <v>1</v>
      </c>
      <c r="CC8" s="77">
        <v>6</v>
      </c>
      <c r="CD8" s="346">
        <v>12</v>
      </c>
      <c r="CE8" s="95">
        <v>2</v>
      </c>
      <c r="CF8" s="346">
        <v>7</v>
      </c>
      <c r="CG8" s="95"/>
      <c r="CH8" s="95"/>
      <c r="CI8" s="95"/>
      <c r="CJ8" s="96">
        <v>1</v>
      </c>
      <c r="CK8" s="79">
        <v>8</v>
      </c>
      <c r="CL8" s="81">
        <v>3</v>
      </c>
      <c r="CM8" s="79">
        <v>6</v>
      </c>
      <c r="CN8" s="95">
        <v>2</v>
      </c>
      <c r="CO8" s="79">
        <v>4</v>
      </c>
      <c r="CP8" s="95"/>
      <c r="CQ8" s="95"/>
      <c r="CR8" s="95"/>
      <c r="CS8" s="77">
        <v>2</v>
      </c>
      <c r="CT8" s="78"/>
      <c r="CU8" s="351">
        <v>7</v>
      </c>
      <c r="CV8" s="79"/>
      <c r="CW8" s="78"/>
      <c r="CX8" s="77"/>
      <c r="CY8" s="315" t="s">
        <v>291</v>
      </c>
      <c r="CZ8" s="114">
        <v>27</v>
      </c>
      <c r="DA8" s="95">
        <v>6</v>
      </c>
      <c r="DB8" s="79">
        <v>5</v>
      </c>
      <c r="DC8" s="95">
        <v>8</v>
      </c>
      <c r="DD8" s="135">
        <v>8</v>
      </c>
      <c r="DE8" s="351">
        <v>8</v>
      </c>
      <c r="DF8" s="95">
        <v>1</v>
      </c>
      <c r="DG8" s="232"/>
    </row>
    <row r="9" spans="1:111" ht="42" customHeight="1" thickTop="1" x14ac:dyDescent="0.5">
      <c r="A9" s="6" t="s">
        <v>11</v>
      </c>
      <c r="B9" s="7" t="s">
        <v>18</v>
      </c>
      <c r="C9" s="6">
        <v>1908</v>
      </c>
      <c r="D9" s="57" t="s">
        <v>7</v>
      </c>
      <c r="E9" s="85" t="s">
        <v>264</v>
      </c>
      <c r="F9" s="265" t="s">
        <v>297</v>
      </c>
      <c r="G9" s="94"/>
      <c r="H9" s="225">
        <v>1</v>
      </c>
      <c r="I9" s="225"/>
      <c r="J9" s="225"/>
      <c r="K9" s="87"/>
      <c r="L9" s="87"/>
      <c r="M9" s="87"/>
      <c r="N9" s="248">
        <v>5</v>
      </c>
      <c r="O9" s="225">
        <v>1</v>
      </c>
      <c r="P9" s="331">
        <v>1</v>
      </c>
      <c r="Q9" s="87"/>
      <c r="R9" s="225"/>
      <c r="S9" s="354">
        <v>6</v>
      </c>
      <c r="T9" s="94">
        <v>1</v>
      </c>
      <c r="U9" s="87"/>
      <c r="V9" s="248">
        <v>1</v>
      </c>
      <c r="W9" s="248"/>
      <c r="X9" s="248"/>
      <c r="Y9" s="248"/>
      <c r="Z9" s="87"/>
      <c r="AA9" s="248"/>
      <c r="AB9" s="261"/>
      <c r="AC9" s="248"/>
      <c r="AD9" s="87"/>
      <c r="AE9" s="248"/>
      <c r="AF9" s="248"/>
      <c r="AG9" s="248"/>
      <c r="AH9" s="261"/>
      <c r="AI9" s="248"/>
      <c r="AJ9" s="313" t="s">
        <v>297</v>
      </c>
      <c r="AK9" s="94"/>
      <c r="AL9" s="87"/>
      <c r="AM9" s="225">
        <v>1</v>
      </c>
      <c r="AN9" s="94"/>
      <c r="AO9" s="225"/>
      <c r="AP9" s="87"/>
      <c r="AQ9" s="87"/>
      <c r="AR9" s="94"/>
      <c r="AS9" s="245"/>
      <c r="AT9" s="94"/>
      <c r="AU9" s="87"/>
      <c r="AV9" s="94"/>
      <c r="AW9" s="87"/>
      <c r="AX9" s="66"/>
      <c r="AY9" s="313" t="s">
        <v>297</v>
      </c>
      <c r="AZ9" s="94"/>
      <c r="BA9" s="87"/>
      <c r="BB9" s="94">
        <v>7</v>
      </c>
      <c r="BC9" s="87"/>
      <c r="BD9" s="225">
        <v>2</v>
      </c>
      <c r="BE9" s="331"/>
      <c r="BF9" s="248">
        <v>5</v>
      </c>
      <c r="BG9" s="331"/>
      <c r="BH9" s="94"/>
      <c r="BI9" s="87"/>
      <c r="BJ9" s="248">
        <v>1</v>
      </c>
      <c r="BK9" s="331"/>
      <c r="BL9" s="248"/>
      <c r="BM9" s="261"/>
      <c r="BN9" s="248">
        <v>1</v>
      </c>
      <c r="BO9" s="248"/>
      <c r="BP9" s="248"/>
      <c r="BQ9" s="261"/>
      <c r="BR9" s="261"/>
      <c r="BS9" s="261"/>
      <c r="BT9" s="313" t="s">
        <v>292</v>
      </c>
      <c r="BU9" s="48">
        <v>3</v>
      </c>
      <c r="BV9" s="69">
        <v>4</v>
      </c>
      <c r="BW9" s="69">
        <v>1</v>
      </c>
      <c r="BX9" s="69"/>
      <c r="BY9" s="69"/>
      <c r="BZ9" s="69"/>
      <c r="CA9" s="69"/>
      <c r="CB9" s="68"/>
      <c r="CC9" s="66">
        <v>6</v>
      </c>
      <c r="CD9" s="344">
        <v>8</v>
      </c>
      <c r="CE9" s="42"/>
      <c r="CF9" s="344">
        <v>6</v>
      </c>
      <c r="CG9" s="42">
        <v>1</v>
      </c>
      <c r="CH9" s="42">
        <v>1</v>
      </c>
      <c r="CI9" s="42"/>
      <c r="CJ9" s="51"/>
      <c r="CK9" s="48">
        <v>4</v>
      </c>
      <c r="CL9" s="69">
        <v>2</v>
      </c>
      <c r="CM9" s="48">
        <v>2</v>
      </c>
      <c r="CN9" s="42"/>
      <c r="CO9" s="48">
        <v>5</v>
      </c>
      <c r="CP9" s="42"/>
      <c r="CQ9" s="42"/>
      <c r="CR9" s="42"/>
      <c r="CS9" s="48"/>
      <c r="CT9" s="67">
        <v>2</v>
      </c>
      <c r="CU9" s="66"/>
      <c r="CV9" s="108">
        <v>2</v>
      </c>
      <c r="CW9" s="67"/>
      <c r="CX9" s="66"/>
      <c r="CY9" s="313" t="s">
        <v>292</v>
      </c>
      <c r="CZ9" s="48">
        <v>4</v>
      </c>
      <c r="DA9" s="42">
        <v>3</v>
      </c>
      <c r="DB9" s="48"/>
      <c r="DC9" s="42">
        <v>2</v>
      </c>
      <c r="DD9" s="66">
        <v>2</v>
      </c>
      <c r="DE9" s="66"/>
      <c r="DF9" s="42"/>
      <c r="DG9" s="232"/>
    </row>
    <row r="10" spans="1:111" ht="31.2" customHeight="1" x14ac:dyDescent="0.5">
      <c r="A10" s="2" t="s">
        <v>19</v>
      </c>
      <c r="B10" s="3" t="s">
        <v>20</v>
      </c>
      <c r="C10" s="2">
        <v>1908</v>
      </c>
      <c r="D10" s="55" t="s">
        <v>15</v>
      </c>
      <c r="E10" s="85" t="s">
        <v>266</v>
      </c>
      <c r="F10" s="263" t="s">
        <v>299</v>
      </c>
      <c r="G10" s="88">
        <v>5</v>
      </c>
      <c r="H10" s="223">
        <v>2</v>
      </c>
      <c r="I10" s="223"/>
      <c r="J10" s="223">
        <v>1</v>
      </c>
      <c r="K10" s="90"/>
      <c r="L10" s="90"/>
      <c r="M10" s="90"/>
      <c r="N10" s="252">
        <v>9</v>
      </c>
      <c r="O10" s="223"/>
      <c r="P10" s="329">
        <v>1</v>
      </c>
      <c r="Q10" s="246">
        <v>5</v>
      </c>
      <c r="R10" s="223">
        <v>1</v>
      </c>
      <c r="S10" s="329"/>
      <c r="T10" s="241">
        <v>6</v>
      </c>
      <c r="U10" s="90"/>
      <c r="V10" s="249"/>
      <c r="W10" s="249">
        <v>1</v>
      </c>
      <c r="X10" s="249">
        <v>1</v>
      </c>
      <c r="Y10" s="249"/>
      <c r="Z10" s="90"/>
      <c r="AA10" s="252">
        <v>2</v>
      </c>
      <c r="AB10" s="259"/>
      <c r="AC10" s="249"/>
      <c r="AD10" s="90"/>
      <c r="AE10" s="249"/>
      <c r="AF10" s="249"/>
      <c r="AG10" s="249"/>
      <c r="AH10" s="259"/>
      <c r="AI10" s="249"/>
      <c r="AJ10" s="314" t="s">
        <v>299</v>
      </c>
      <c r="AK10" s="88">
        <v>2</v>
      </c>
      <c r="AL10" s="90"/>
      <c r="AM10" s="223">
        <v>1</v>
      </c>
      <c r="AN10" s="88">
        <v>2</v>
      </c>
      <c r="AO10" s="242">
        <v>2</v>
      </c>
      <c r="AP10" s="90"/>
      <c r="AQ10" s="90"/>
      <c r="AR10" s="88">
        <v>1</v>
      </c>
      <c r="AS10" s="90">
        <v>1</v>
      </c>
      <c r="AT10" s="88"/>
      <c r="AU10" s="90"/>
      <c r="AV10" s="88"/>
      <c r="AW10" s="90"/>
      <c r="AX10" s="70"/>
      <c r="AY10" s="314" t="s">
        <v>299</v>
      </c>
      <c r="AZ10" s="88">
        <v>5</v>
      </c>
      <c r="BA10" s="90"/>
      <c r="BB10" s="247">
        <v>9</v>
      </c>
      <c r="BC10" s="90">
        <v>2</v>
      </c>
      <c r="BD10" s="223">
        <v>1</v>
      </c>
      <c r="BE10" s="329">
        <v>1</v>
      </c>
      <c r="BF10" s="252">
        <v>7</v>
      </c>
      <c r="BG10" s="329"/>
      <c r="BH10" s="247">
        <v>11</v>
      </c>
      <c r="BI10" s="90">
        <v>1</v>
      </c>
      <c r="BJ10" s="254">
        <v>9</v>
      </c>
      <c r="BK10" s="329"/>
      <c r="BL10" s="254">
        <v>5</v>
      </c>
      <c r="BM10" s="259"/>
      <c r="BN10" s="249"/>
      <c r="BO10" s="249"/>
      <c r="BP10" s="249"/>
      <c r="BQ10" s="259"/>
      <c r="BR10" s="259"/>
      <c r="BS10" s="259"/>
      <c r="BT10" s="314"/>
      <c r="BU10" s="103">
        <v>13</v>
      </c>
      <c r="BV10" s="337">
        <v>9</v>
      </c>
      <c r="BW10" s="76">
        <v>1</v>
      </c>
      <c r="BX10" s="76">
        <v>1</v>
      </c>
      <c r="BY10" s="76"/>
      <c r="BZ10" s="76">
        <v>1</v>
      </c>
      <c r="CA10" s="76"/>
      <c r="CB10" s="75"/>
      <c r="CC10" s="70">
        <v>2</v>
      </c>
      <c r="CD10" s="72">
        <v>1</v>
      </c>
      <c r="CE10" s="106">
        <v>4</v>
      </c>
      <c r="CF10" s="72"/>
      <c r="CG10" s="72">
        <v>2</v>
      </c>
      <c r="CH10" s="72">
        <v>1</v>
      </c>
      <c r="CI10" s="72"/>
      <c r="CJ10" s="74"/>
      <c r="CK10" s="71">
        <v>7</v>
      </c>
      <c r="CL10" s="76">
        <v>2</v>
      </c>
      <c r="CM10" s="103">
        <v>8</v>
      </c>
      <c r="CN10" s="106">
        <v>4</v>
      </c>
      <c r="CO10" s="71"/>
      <c r="CP10" s="72">
        <v>1</v>
      </c>
      <c r="CQ10" s="72"/>
      <c r="CR10" s="72">
        <v>1</v>
      </c>
      <c r="CS10" s="71">
        <v>2</v>
      </c>
      <c r="CT10" s="73">
        <v>3</v>
      </c>
      <c r="CU10" s="70"/>
      <c r="CV10" s="71"/>
      <c r="CW10" s="73"/>
      <c r="CX10" s="272">
        <v>4</v>
      </c>
      <c r="CY10" s="314"/>
      <c r="CZ10" s="103">
        <v>10</v>
      </c>
      <c r="DA10" s="72">
        <v>7</v>
      </c>
      <c r="DB10" s="103">
        <v>13</v>
      </c>
      <c r="DC10" s="72">
        <v>9</v>
      </c>
      <c r="DD10" s="70">
        <v>4</v>
      </c>
      <c r="DE10" s="70">
        <v>1</v>
      </c>
      <c r="DF10" s="72">
        <v>1</v>
      </c>
      <c r="DG10" s="232"/>
    </row>
    <row r="11" spans="1:111" ht="33.6" customHeight="1" x14ac:dyDescent="0.5">
      <c r="A11" s="517" t="s">
        <v>21</v>
      </c>
      <c r="B11" s="3" t="s">
        <v>22</v>
      </c>
      <c r="C11" s="2">
        <v>1909</v>
      </c>
      <c r="D11" s="55" t="s">
        <v>7</v>
      </c>
      <c r="E11" s="85" t="s">
        <v>267</v>
      </c>
      <c r="F11" s="263"/>
      <c r="G11" s="88">
        <v>2</v>
      </c>
      <c r="H11" s="223">
        <v>1</v>
      </c>
      <c r="I11" s="223"/>
      <c r="J11" s="223"/>
      <c r="K11" s="90"/>
      <c r="L11" s="90"/>
      <c r="M11" s="90"/>
      <c r="N11" s="249"/>
      <c r="O11" s="223"/>
      <c r="P11" s="329">
        <v>1</v>
      </c>
      <c r="Q11" s="90"/>
      <c r="R11" s="223">
        <v>1</v>
      </c>
      <c r="S11" s="329">
        <v>1</v>
      </c>
      <c r="T11" s="88"/>
      <c r="U11" s="90"/>
      <c r="V11" s="249"/>
      <c r="W11" s="249"/>
      <c r="X11" s="249"/>
      <c r="Y11" s="249"/>
      <c r="Z11" s="90"/>
      <c r="AA11" s="249"/>
      <c r="AB11" s="259"/>
      <c r="AC11" s="249"/>
      <c r="AD11" s="90"/>
      <c r="AE11" s="249"/>
      <c r="AF11" s="249"/>
      <c r="AG11" s="249"/>
      <c r="AH11" s="259"/>
      <c r="AI11" s="249"/>
      <c r="AJ11" s="314"/>
      <c r="AK11" s="88"/>
      <c r="AL11" s="90"/>
      <c r="AM11" s="223"/>
      <c r="AN11" s="241">
        <v>4</v>
      </c>
      <c r="AO11" s="223"/>
      <c r="AP11" s="90"/>
      <c r="AQ11" s="244">
        <v>2</v>
      </c>
      <c r="AR11" s="88"/>
      <c r="AS11" s="90"/>
      <c r="AT11" s="88"/>
      <c r="AU11" s="90"/>
      <c r="AV11" s="88"/>
      <c r="AW11" s="90"/>
      <c r="AX11" s="70"/>
      <c r="AY11" s="314"/>
      <c r="AZ11" s="88">
        <v>1</v>
      </c>
      <c r="BA11" s="90">
        <v>1</v>
      </c>
      <c r="BB11" s="88"/>
      <c r="BC11" s="90"/>
      <c r="BD11" s="223"/>
      <c r="BE11" s="329"/>
      <c r="BF11" s="249">
        <v>1</v>
      </c>
      <c r="BG11" s="329"/>
      <c r="BH11" s="88"/>
      <c r="BI11" s="90"/>
      <c r="BJ11" s="249"/>
      <c r="BK11" s="329"/>
      <c r="BL11" s="249">
        <v>2</v>
      </c>
      <c r="BM11" s="259"/>
      <c r="BN11" s="249"/>
      <c r="BO11" s="249"/>
      <c r="BP11" s="249"/>
      <c r="BQ11" s="259"/>
      <c r="BR11" s="259"/>
      <c r="BS11" s="259"/>
      <c r="BT11" s="314" t="s">
        <v>297</v>
      </c>
      <c r="BU11" s="71">
        <v>1</v>
      </c>
      <c r="BV11" s="76">
        <v>1</v>
      </c>
      <c r="BW11" s="76"/>
      <c r="BX11" s="76"/>
      <c r="BY11" s="76"/>
      <c r="BZ11" s="76"/>
      <c r="CA11" s="76"/>
      <c r="CB11" s="75"/>
      <c r="CC11" s="70">
        <v>1</v>
      </c>
      <c r="CD11" s="72"/>
      <c r="CE11" s="72">
        <v>1</v>
      </c>
      <c r="CF11" s="72">
        <v>1</v>
      </c>
      <c r="CG11" s="72"/>
      <c r="CH11" s="72">
        <v>1</v>
      </c>
      <c r="CI11" s="72"/>
      <c r="CJ11" s="74"/>
      <c r="CK11" s="71"/>
      <c r="CL11" s="76"/>
      <c r="CM11" s="71">
        <v>2</v>
      </c>
      <c r="CN11" s="72">
        <v>1</v>
      </c>
      <c r="CO11" s="71"/>
      <c r="CP11" s="72"/>
      <c r="CQ11" s="72"/>
      <c r="CR11" s="72"/>
      <c r="CS11" s="103">
        <v>6</v>
      </c>
      <c r="CT11" s="73">
        <v>1</v>
      </c>
      <c r="CU11" s="70"/>
      <c r="CV11" s="71"/>
      <c r="CW11" s="73"/>
      <c r="CX11" s="70"/>
      <c r="CY11" s="314" t="s">
        <v>286</v>
      </c>
      <c r="CZ11" s="71">
        <v>1</v>
      </c>
      <c r="DA11" s="72">
        <v>2</v>
      </c>
      <c r="DB11" s="71">
        <v>1</v>
      </c>
      <c r="DC11" s="72"/>
      <c r="DD11" s="70">
        <v>1</v>
      </c>
      <c r="DE11" s="70"/>
      <c r="DF11" s="72"/>
      <c r="DG11" s="232"/>
    </row>
    <row r="12" spans="1:111" ht="32.4" customHeight="1" x14ac:dyDescent="0.5">
      <c r="A12" s="2" t="s">
        <v>23</v>
      </c>
      <c r="B12" s="3" t="s">
        <v>24</v>
      </c>
      <c r="C12" s="2">
        <v>1909</v>
      </c>
      <c r="D12" s="55" t="s">
        <v>15</v>
      </c>
      <c r="E12" s="85" t="s">
        <v>268</v>
      </c>
      <c r="F12" s="263" t="s">
        <v>286</v>
      </c>
      <c r="G12" s="88"/>
      <c r="H12" s="223">
        <v>1</v>
      </c>
      <c r="I12" s="223"/>
      <c r="J12" s="223">
        <v>1</v>
      </c>
      <c r="K12" s="90"/>
      <c r="L12" s="90"/>
      <c r="M12" s="90"/>
      <c r="N12" s="249">
        <v>5</v>
      </c>
      <c r="O12" s="223"/>
      <c r="P12" s="329"/>
      <c r="Q12" s="90">
        <v>1</v>
      </c>
      <c r="R12" s="223">
        <v>1</v>
      </c>
      <c r="S12" s="329"/>
      <c r="T12" s="88"/>
      <c r="U12" s="90"/>
      <c r="V12" s="249"/>
      <c r="W12" s="249"/>
      <c r="X12" s="249"/>
      <c r="Y12" s="249"/>
      <c r="Z12" s="90"/>
      <c r="AA12" s="249"/>
      <c r="AB12" s="259"/>
      <c r="AC12" s="249"/>
      <c r="AD12" s="90"/>
      <c r="AE12" s="249"/>
      <c r="AF12" s="249"/>
      <c r="AG12" s="249"/>
      <c r="AH12" s="259"/>
      <c r="AI12" s="249"/>
      <c r="AJ12" s="314" t="s">
        <v>290</v>
      </c>
      <c r="AK12" s="88"/>
      <c r="AL12" s="90"/>
      <c r="AM12" s="223"/>
      <c r="AN12" s="88">
        <v>2</v>
      </c>
      <c r="AO12" s="223"/>
      <c r="AP12" s="90"/>
      <c r="AQ12" s="90"/>
      <c r="AR12" s="88"/>
      <c r="AS12" s="90"/>
      <c r="AT12" s="88"/>
      <c r="AU12" s="90"/>
      <c r="AV12" s="88"/>
      <c r="AW12" s="90"/>
      <c r="AX12" s="70"/>
      <c r="AY12" s="314" t="s">
        <v>299</v>
      </c>
      <c r="AZ12" s="88">
        <v>7</v>
      </c>
      <c r="BA12" s="90"/>
      <c r="BB12" s="88"/>
      <c r="BC12" s="90">
        <v>2</v>
      </c>
      <c r="BD12" s="223"/>
      <c r="BE12" s="329"/>
      <c r="BF12" s="249">
        <v>1</v>
      </c>
      <c r="BG12" s="329"/>
      <c r="BH12" s="88"/>
      <c r="BI12" s="90"/>
      <c r="BJ12" s="249"/>
      <c r="BK12" s="329"/>
      <c r="BL12" s="249"/>
      <c r="BM12" s="259"/>
      <c r="BN12" s="249"/>
      <c r="BO12" s="249"/>
      <c r="BP12" s="249"/>
      <c r="BQ12" s="259"/>
      <c r="BR12" s="259"/>
      <c r="BS12" s="259"/>
      <c r="BT12" s="314" t="s">
        <v>291</v>
      </c>
      <c r="BU12" s="71">
        <v>9</v>
      </c>
      <c r="BV12" s="76"/>
      <c r="BW12" s="76">
        <v>3</v>
      </c>
      <c r="BX12" s="76">
        <v>2</v>
      </c>
      <c r="BY12" s="76"/>
      <c r="BZ12" s="76"/>
      <c r="CA12" s="76"/>
      <c r="CB12" s="75"/>
      <c r="CC12" s="70"/>
      <c r="CD12" s="72">
        <v>4</v>
      </c>
      <c r="CE12" s="72">
        <v>1</v>
      </c>
      <c r="CF12" s="72">
        <v>1</v>
      </c>
      <c r="CG12" s="106">
        <v>3</v>
      </c>
      <c r="CH12" s="72">
        <v>2</v>
      </c>
      <c r="CI12" s="72"/>
      <c r="CJ12" s="74"/>
      <c r="CK12" s="71">
        <v>9</v>
      </c>
      <c r="CL12" s="76"/>
      <c r="CM12" s="71">
        <v>5</v>
      </c>
      <c r="CN12" s="72"/>
      <c r="CO12" s="71">
        <v>2</v>
      </c>
      <c r="CP12" s="72">
        <v>2</v>
      </c>
      <c r="CQ12" s="72"/>
      <c r="CR12" s="72"/>
      <c r="CS12" s="71"/>
      <c r="CT12" s="73"/>
      <c r="CU12" s="70"/>
      <c r="CV12" s="71"/>
      <c r="CW12" s="73"/>
      <c r="CX12" s="70"/>
      <c r="CY12" s="314" t="s">
        <v>295</v>
      </c>
      <c r="CZ12" s="71"/>
      <c r="DA12" s="72">
        <v>3</v>
      </c>
      <c r="DB12" s="71">
        <v>1</v>
      </c>
      <c r="DC12" s="72"/>
      <c r="DD12" s="70">
        <v>1</v>
      </c>
      <c r="DE12" s="70">
        <v>1</v>
      </c>
      <c r="DF12" s="72">
        <v>1</v>
      </c>
      <c r="DG12" s="232"/>
    </row>
    <row r="13" spans="1:111" ht="29.4" customHeight="1" x14ac:dyDescent="0.5">
      <c r="A13" s="2" t="s">
        <v>25</v>
      </c>
      <c r="B13" s="3" t="s">
        <v>26</v>
      </c>
      <c r="C13" s="2">
        <v>1910</v>
      </c>
      <c r="D13" s="55" t="s">
        <v>7</v>
      </c>
      <c r="E13" s="85" t="s">
        <v>270</v>
      </c>
      <c r="F13" s="263" t="s">
        <v>290</v>
      </c>
      <c r="G13" s="88">
        <v>3</v>
      </c>
      <c r="H13" s="223"/>
      <c r="I13" s="223"/>
      <c r="J13" s="223"/>
      <c r="K13" s="90"/>
      <c r="L13" s="90"/>
      <c r="M13" s="90"/>
      <c r="N13" s="249">
        <v>2</v>
      </c>
      <c r="O13" s="223">
        <v>1</v>
      </c>
      <c r="P13" s="329"/>
      <c r="Q13" s="90">
        <v>1</v>
      </c>
      <c r="R13" s="223">
        <v>1</v>
      </c>
      <c r="S13" s="329">
        <v>1</v>
      </c>
      <c r="T13" s="88">
        <v>1</v>
      </c>
      <c r="U13" s="90"/>
      <c r="V13" s="249"/>
      <c r="W13" s="249"/>
      <c r="X13" s="249"/>
      <c r="Y13" s="249"/>
      <c r="Z13" s="90">
        <v>1</v>
      </c>
      <c r="AA13" s="249">
        <v>1</v>
      </c>
      <c r="AB13" s="259"/>
      <c r="AC13" s="249">
        <v>1</v>
      </c>
      <c r="AD13" s="90">
        <v>1</v>
      </c>
      <c r="AE13" s="249"/>
      <c r="AF13" s="249">
        <v>1</v>
      </c>
      <c r="AG13" s="249">
        <v>1</v>
      </c>
      <c r="AH13" s="259"/>
      <c r="AI13" s="249"/>
      <c r="AJ13" s="314" t="s">
        <v>298</v>
      </c>
      <c r="AK13" s="88">
        <v>1</v>
      </c>
      <c r="AL13" s="90">
        <v>2</v>
      </c>
      <c r="AM13" s="223"/>
      <c r="AN13" s="88">
        <v>2</v>
      </c>
      <c r="AO13" s="223">
        <v>1</v>
      </c>
      <c r="AP13" s="90"/>
      <c r="AQ13" s="90"/>
      <c r="AR13" s="88">
        <v>2</v>
      </c>
      <c r="AS13" s="90"/>
      <c r="AT13" s="88"/>
      <c r="AU13" s="90"/>
      <c r="AV13" s="88">
        <v>1</v>
      </c>
      <c r="AW13" s="90"/>
      <c r="AX13" s="70">
        <v>2</v>
      </c>
      <c r="AY13" s="314" t="s">
        <v>300</v>
      </c>
      <c r="AZ13" s="88">
        <v>1</v>
      </c>
      <c r="BA13" s="90"/>
      <c r="BB13" s="88"/>
      <c r="BC13" s="90"/>
      <c r="BD13" s="223"/>
      <c r="BE13" s="329"/>
      <c r="BF13" s="249">
        <v>5</v>
      </c>
      <c r="BG13" s="329"/>
      <c r="BH13" s="88">
        <v>2</v>
      </c>
      <c r="BI13" s="90"/>
      <c r="BJ13" s="249"/>
      <c r="BK13" s="329"/>
      <c r="BL13" s="249">
        <v>1</v>
      </c>
      <c r="BM13" s="259"/>
      <c r="BN13" s="249"/>
      <c r="BO13" s="249"/>
      <c r="BP13" s="249"/>
      <c r="BQ13" s="259"/>
      <c r="BR13" s="259"/>
      <c r="BS13" s="259"/>
      <c r="BT13" s="314" t="s">
        <v>304</v>
      </c>
      <c r="BU13" s="71">
        <v>2</v>
      </c>
      <c r="BV13" s="76">
        <v>4</v>
      </c>
      <c r="BW13" s="337">
        <v>5</v>
      </c>
      <c r="BX13" s="76"/>
      <c r="BY13" s="76"/>
      <c r="BZ13" s="76">
        <v>1</v>
      </c>
      <c r="CA13" s="76"/>
      <c r="CB13" s="75"/>
      <c r="CC13" s="70">
        <v>4</v>
      </c>
      <c r="CD13" s="72">
        <v>2</v>
      </c>
      <c r="CE13" s="72">
        <v>1</v>
      </c>
      <c r="CF13" s="106">
        <v>4</v>
      </c>
      <c r="CG13" s="72">
        <v>1</v>
      </c>
      <c r="CH13" s="72"/>
      <c r="CI13" s="72"/>
      <c r="CJ13" s="74">
        <v>1</v>
      </c>
      <c r="CK13" s="71">
        <v>1</v>
      </c>
      <c r="CL13" s="76"/>
      <c r="CM13" s="71">
        <v>3</v>
      </c>
      <c r="CN13" s="72"/>
      <c r="CO13" s="71">
        <v>2</v>
      </c>
      <c r="CP13" s="72"/>
      <c r="CQ13" s="72">
        <v>1</v>
      </c>
      <c r="CR13" s="72"/>
      <c r="CS13" s="71">
        <v>1</v>
      </c>
      <c r="CT13" s="73">
        <v>2</v>
      </c>
      <c r="CU13" s="70"/>
      <c r="CV13" s="71">
        <v>1</v>
      </c>
      <c r="CW13" s="73"/>
      <c r="CX13" s="70"/>
      <c r="CY13" s="314" t="s">
        <v>288</v>
      </c>
      <c r="CZ13" s="103">
        <v>11</v>
      </c>
      <c r="DA13" s="273">
        <v>14</v>
      </c>
      <c r="DB13" s="103">
        <v>11</v>
      </c>
      <c r="DC13" s="72">
        <v>7</v>
      </c>
      <c r="DD13" s="136">
        <v>7</v>
      </c>
      <c r="DE13" s="136">
        <v>3</v>
      </c>
      <c r="DF13" s="106">
        <v>5</v>
      </c>
      <c r="DG13" s="232"/>
    </row>
    <row r="14" spans="1:111" ht="37.200000000000003" customHeight="1" thickBot="1" x14ac:dyDescent="0.55000000000000004">
      <c r="A14" s="21" t="s">
        <v>27</v>
      </c>
      <c r="B14" s="19" t="s">
        <v>28</v>
      </c>
      <c r="C14" s="18">
        <v>1910</v>
      </c>
      <c r="D14" s="213" t="s">
        <v>29</v>
      </c>
      <c r="E14" s="85" t="s">
        <v>271</v>
      </c>
      <c r="F14" s="264" t="s">
        <v>288</v>
      </c>
      <c r="G14" s="226"/>
      <c r="H14" s="227"/>
      <c r="I14" s="227"/>
      <c r="J14" s="227">
        <v>1</v>
      </c>
      <c r="K14" s="228"/>
      <c r="L14" s="228"/>
      <c r="M14" s="228"/>
      <c r="N14" s="301">
        <v>1</v>
      </c>
      <c r="O14" s="227">
        <v>1</v>
      </c>
      <c r="P14" s="332"/>
      <c r="Q14" s="228">
        <v>1</v>
      </c>
      <c r="R14" s="227"/>
      <c r="S14" s="332"/>
      <c r="T14" s="226">
        <v>1</v>
      </c>
      <c r="U14" s="228"/>
      <c r="V14" s="301"/>
      <c r="W14" s="301"/>
      <c r="X14" s="301"/>
      <c r="Y14" s="301"/>
      <c r="Z14" s="228"/>
      <c r="AA14" s="301"/>
      <c r="AB14" s="303"/>
      <c r="AC14" s="301"/>
      <c r="AD14" s="228"/>
      <c r="AE14" s="301"/>
      <c r="AF14" s="301"/>
      <c r="AG14" s="301"/>
      <c r="AH14" s="303"/>
      <c r="AI14" s="301"/>
      <c r="AJ14" s="315" t="s">
        <v>301</v>
      </c>
      <c r="AK14" s="226"/>
      <c r="AL14" s="228"/>
      <c r="AM14" s="227"/>
      <c r="AN14" s="226"/>
      <c r="AO14" s="227"/>
      <c r="AP14" s="228"/>
      <c r="AQ14" s="228"/>
      <c r="AR14" s="226"/>
      <c r="AS14" s="228"/>
      <c r="AT14" s="226"/>
      <c r="AU14" s="228"/>
      <c r="AV14" s="226"/>
      <c r="AW14" s="228">
        <v>1</v>
      </c>
      <c r="AX14" s="231"/>
      <c r="AY14" s="315" t="s">
        <v>302</v>
      </c>
      <c r="AZ14" s="226"/>
      <c r="BA14" s="228"/>
      <c r="BB14" s="226">
        <v>3</v>
      </c>
      <c r="BC14" s="228">
        <v>3</v>
      </c>
      <c r="BD14" s="227">
        <v>1</v>
      </c>
      <c r="BE14" s="332">
        <v>2</v>
      </c>
      <c r="BF14" s="301"/>
      <c r="BG14" s="332"/>
      <c r="BH14" s="226">
        <v>1</v>
      </c>
      <c r="BI14" s="228"/>
      <c r="BJ14" s="357">
        <v>4</v>
      </c>
      <c r="BK14" s="332"/>
      <c r="BL14" s="301"/>
      <c r="BM14" s="303"/>
      <c r="BN14" s="301"/>
      <c r="BO14" s="301">
        <v>1</v>
      </c>
      <c r="BP14" s="301"/>
      <c r="BQ14" s="303"/>
      <c r="BR14" s="303"/>
      <c r="BS14" s="303"/>
      <c r="BT14" s="315" t="s">
        <v>288</v>
      </c>
      <c r="BU14" s="218"/>
      <c r="BV14" s="219"/>
      <c r="BW14" s="219">
        <v>2</v>
      </c>
      <c r="BX14" s="219">
        <v>2</v>
      </c>
      <c r="BY14" s="219"/>
      <c r="BZ14" s="219"/>
      <c r="CA14" s="219"/>
      <c r="CB14" s="359"/>
      <c r="CC14" s="231">
        <v>3</v>
      </c>
      <c r="CD14" s="220"/>
      <c r="CE14" s="220">
        <v>2</v>
      </c>
      <c r="CF14" s="220"/>
      <c r="CG14" s="220"/>
      <c r="CH14" s="220">
        <v>1</v>
      </c>
      <c r="CI14" s="220"/>
      <c r="CJ14" s="327">
        <v>1</v>
      </c>
      <c r="CK14" s="218">
        <v>4</v>
      </c>
      <c r="CL14" s="219">
        <v>1</v>
      </c>
      <c r="CM14" s="218">
        <v>4</v>
      </c>
      <c r="CN14" s="220">
        <v>2</v>
      </c>
      <c r="CO14" s="218"/>
      <c r="CP14" s="220"/>
      <c r="CQ14" s="220"/>
      <c r="CR14" s="220"/>
      <c r="CS14" s="218">
        <v>3</v>
      </c>
      <c r="CT14" s="350">
        <v>5</v>
      </c>
      <c r="CU14" s="231"/>
      <c r="CV14" s="218">
        <v>1</v>
      </c>
      <c r="CW14" s="229"/>
      <c r="CX14" s="231"/>
      <c r="CY14" s="315" t="s">
        <v>297</v>
      </c>
      <c r="CZ14" s="218">
        <v>3</v>
      </c>
      <c r="DA14" s="220">
        <v>2</v>
      </c>
      <c r="DB14" s="218"/>
      <c r="DC14" s="220">
        <v>1</v>
      </c>
      <c r="DD14" s="231"/>
      <c r="DE14" s="231"/>
      <c r="DF14" s="220"/>
      <c r="DG14" s="232"/>
    </row>
    <row r="15" spans="1:111" ht="37.799999999999997" customHeight="1" thickTop="1" x14ac:dyDescent="0.5">
      <c r="A15" s="9" t="s">
        <v>30</v>
      </c>
      <c r="B15" s="11" t="s">
        <v>31</v>
      </c>
      <c r="C15" s="11">
        <v>1911</v>
      </c>
      <c r="D15" s="53" t="s">
        <v>7</v>
      </c>
      <c r="E15" s="85" t="s">
        <v>274</v>
      </c>
      <c r="F15" s="265" t="s">
        <v>297</v>
      </c>
      <c r="G15" s="86">
        <v>14</v>
      </c>
      <c r="H15" s="239">
        <v>6</v>
      </c>
      <c r="I15" s="221"/>
      <c r="J15" s="239">
        <v>4</v>
      </c>
      <c r="K15" s="222">
        <v>1</v>
      </c>
      <c r="L15" s="222"/>
      <c r="M15" s="222">
        <v>1</v>
      </c>
      <c r="N15" s="335">
        <v>9</v>
      </c>
      <c r="O15" s="221"/>
      <c r="P15" s="328"/>
      <c r="Q15" s="222">
        <v>1</v>
      </c>
      <c r="R15" s="221">
        <v>2</v>
      </c>
      <c r="S15" s="328"/>
      <c r="T15" s="298">
        <v>2</v>
      </c>
      <c r="U15" s="222"/>
      <c r="V15" s="253"/>
      <c r="W15" s="253"/>
      <c r="X15" s="253">
        <v>1</v>
      </c>
      <c r="Y15" s="253"/>
      <c r="Z15" s="222"/>
      <c r="AA15" s="253"/>
      <c r="AB15" s="258">
        <v>1</v>
      </c>
      <c r="AC15" s="253"/>
      <c r="AD15" s="222"/>
      <c r="AE15" s="253"/>
      <c r="AF15" s="253"/>
      <c r="AG15" s="253"/>
      <c r="AH15" s="258">
        <v>1</v>
      </c>
      <c r="AI15" s="253"/>
      <c r="AJ15" s="313" t="s">
        <v>286</v>
      </c>
      <c r="AK15" s="86">
        <v>6</v>
      </c>
      <c r="AL15" s="222">
        <v>3</v>
      </c>
      <c r="AM15" s="221"/>
      <c r="AN15" s="298">
        <v>4</v>
      </c>
      <c r="AO15" s="221">
        <v>1</v>
      </c>
      <c r="AP15" s="222">
        <v>1</v>
      </c>
      <c r="AQ15" s="222"/>
      <c r="AR15" s="298">
        <v>2</v>
      </c>
      <c r="AS15" s="222">
        <v>1</v>
      </c>
      <c r="AT15" s="298">
        <v>1</v>
      </c>
      <c r="AU15" s="222"/>
      <c r="AV15" s="298"/>
      <c r="AW15" s="222"/>
      <c r="AX15" s="320">
        <v>3</v>
      </c>
      <c r="AY15" s="313" t="s">
        <v>291</v>
      </c>
      <c r="AZ15" s="298">
        <v>7</v>
      </c>
      <c r="BA15" s="323">
        <v>10</v>
      </c>
      <c r="BB15" s="86">
        <v>6</v>
      </c>
      <c r="BC15" s="222"/>
      <c r="BD15" s="221">
        <v>1</v>
      </c>
      <c r="BE15" s="328"/>
      <c r="BF15" s="335">
        <v>7</v>
      </c>
      <c r="BG15" s="328"/>
      <c r="BH15" s="86">
        <v>6</v>
      </c>
      <c r="BI15" s="222"/>
      <c r="BJ15" s="253"/>
      <c r="BK15" s="328"/>
      <c r="BL15" s="253"/>
      <c r="BM15" s="258"/>
      <c r="BN15" s="253"/>
      <c r="BO15" s="253"/>
      <c r="BP15" s="253"/>
      <c r="BQ15" s="258"/>
      <c r="BR15" s="258"/>
      <c r="BS15" s="258"/>
      <c r="BT15" s="313" t="s">
        <v>299</v>
      </c>
      <c r="BU15" s="214">
        <v>8</v>
      </c>
      <c r="BV15" s="338">
        <v>7</v>
      </c>
      <c r="BW15" s="338">
        <v>4</v>
      </c>
      <c r="BX15" s="215">
        <v>1</v>
      </c>
      <c r="BY15" s="341">
        <v>19</v>
      </c>
      <c r="BZ15" s="215"/>
      <c r="CA15" s="215"/>
      <c r="CB15" s="358"/>
      <c r="CC15" s="230">
        <v>4</v>
      </c>
      <c r="CD15" s="216"/>
      <c r="CE15" s="345">
        <v>9</v>
      </c>
      <c r="CF15" s="216"/>
      <c r="CG15" s="216">
        <v>1</v>
      </c>
      <c r="CH15" s="216"/>
      <c r="CI15" s="216">
        <v>2</v>
      </c>
      <c r="CJ15" s="326">
        <v>1</v>
      </c>
      <c r="CK15" s="343">
        <v>22</v>
      </c>
      <c r="CL15" s="215">
        <v>2</v>
      </c>
      <c r="CM15" s="214">
        <v>2</v>
      </c>
      <c r="CN15" s="216">
        <v>1</v>
      </c>
      <c r="CO15" s="343">
        <v>10</v>
      </c>
      <c r="CP15" s="347">
        <v>4</v>
      </c>
      <c r="CQ15" s="216">
        <v>2</v>
      </c>
      <c r="CR15" s="216">
        <v>1</v>
      </c>
      <c r="CS15" s="230">
        <v>5</v>
      </c>
      <c r="CT15" s="349">
        <v>4</v>
      </c>
      <c r="CU15" s="230"/>
      <c r="CV15" s="214"/>
      <c r="CW15" s="217"/>
      <c r="CX15" s="230"/>
      <c r="CY15" s="313" t="s">
        <v>286</v>
      </c>
      <c r="CZ15" s="214">
        <v>1</v>
      </c>
      <c r="DA15" s="216">
        <v>4</v>
      </c>
      <c r="DB15" s="214"/>
      <c r="DC15" s="216">
        <v>3</v>
      </c>
      <c r="DD15" s="230">
        <v>3</v>
      </c>
      <c r="DE15" s="230"/>
      <c r="DF15" s="216"/>
      <c r="DG15" s="232"/>
    </row>
    <row r="16" spans="1:111" ht="35.4" customHeight="1" x14ac:dyDescent="0.5">
      <c r="A16" s="13" t="s">
        <v>32</v>
      </c>
      <c r="B16" s="3" t="s">
        <v>33</v>
      </c>
      <c r="C16" s="2">
        <v>1912</v>
      </c>
      <c r="D16" s="55" t="s">
        <v>7</v>
      </c>
      <c r="E16" s="85" t="s">
        <v>277</v>
      </c>
      <c r="F16" s="263" t="s">
        <v>291</v>
      </c>
      <c r="G16" s="88">
        <v>4</v>
      </c>
      <c r="H16" s="223">
        <v>2</v>
      </c>
      <c r="I16" s="223">
        <v>2</v>
      </c>
      <c r="J16" s="223"/>
      <c r="K16" s="90"/>
      <c r="L16" s="90">
        <v>1</v>
      </c>
      <c r="M16" s="90">
        <v>1</v>
      </c>
      <c r="N16" s="249">
        <v>5</v>
      </c>
      <c r="O16" s="223"/>
      <c r="P16" s="329"/>
      <c r="Q16" s="90">
        <v>1</v>
      </c>
      <c r="R16" s="223"/>
      <c r="S16" s="355">
        <v>4</v>
      </c>
      <c r="T16" s="88">
        <v>2</v>
      </c>
      <c r="U16" s="90">
        <v>1</v>
      </c>
      <c r="V16" s="249">
        <v>1</v>
      </c>
      <c r="W16" s="249"/>
      <c r="X16" s="254">
        <v>3</v>
      </c>
      <c r="Y16" s="249"/>
      <c r="Z16" s="90">
        <v>1</v>
      </c>
      <c r="AA16" s="249"/>
      <c r="AB16" s="259"/>
      <c r="AC16" s="249"/>
      <c r="AD16" s="90"/>
      <c r="AE16" s="249"/>
      <c r="AF16" s="249"/>
      <c r="AG16" s="249"/>
      <c r="AH16" s="259"/>
      <c r="AI16" s="249"/>
      <c r="AJ16" s="314" t="s">
        <v>296</v>
      </c>
      <c r="AK16" s="88"/>
      <c r="AL16" s="244">
        <v>8</v>
      </c>
      <c r="AM16" s="243">
        <v>2</v>
      </c>
      <c r="AN16" s="88"/>
      <c r="AO16" s="223">
        <v>1</v>
      </c>
      <c r="AP16" s="90"/>
      <c r="AQ16" s="90"/>
      <c r="AR16" s="88"/>
      <c r="AS16" s="90"/>
      <c r="AT16" s="88"/>
      <c r="AU16" s="90"/>
      <c r="AV16" s="88"/>
      <c r="AW16" s="90"/>
      <c r="AX16" s="70"/>
      <c r="AY16" s="314" t="s">
        <v>289</v>
      </c>
      <c r="AZ16" s="88">
        <v>2</v>
      </c>
      <c r="BA16" s="90"/>
      <c r="BB16" s="88">
        <v>3</v>
      </c>
      <c r="BC16" s="246">
        <v>7</v>
      </c>
      <c r="BD16" s="223">
        <v>1</v>
      </c>
      <c r="BE16" s="329">
        <v>1</v>
      </c>
      <c r="BF16" s="249">
        <v>3</v>
      </c>
      <c r="BG16" s="329"/>
      <c r="BH16" s="88">
        <v>3</v>
      </c>
      <c r="BI16" s="90"/>
      <c r="BJ16" s="249">
        <v>2</v>
      </c>
      <c r="BK16" s="329"/>
      <c r="BL16" s="249"/>
      <c r="BM16" s="259">
        <v>1</v>
      </c>
      <c r="BN16" s="249"/>
      <c r="BO16" s="249"/>
      <c r="BP16" s="249">
        <v>1</v>
      </c>
      <c r="BQ16" s="259"/>
      <c r="BR16" s="259"/>
      <c r="BS16" s="259">
        <v>1</v>
      </c>
      <c r="BT16" s="314" t="s">
        <v>292</v>
      </c>
      <c r="BU16" s="71"/>
      <c r="BV16" s="76"/>
      <c r="BW16" s="76"/>
      <c r="BX16" s="76">
        <v>1</v>
      </c>
      <c r="BY16" s="76"/>
      <c r="BZ16" s="76"/>
      <c r="CA16" s="76"/>
      <c r="CB16" s="75">
        <v>1</v>
      </c>
      <c r="CC16" s="70">
        <v>3</v>
      </c>
      <c r="CD16" s="72"/>
      <c r="CE16" s="72">
        <v>1</v>
      </c>
      <c r="CF16" s="72"/>
      <c r="CG16" s="72"/>
      <c r="CH16" s="72">
        <v>1</v>
      </c>
      <c r="CI16" s="72"/>
      <c r="CJ16" s="74"/>
      <c r="CK16" s="71">
        <v>7</v>
      </c>
      <c r="CL16" s="76">
        <v>2</v>
      </c>
      <c r="CM16" s="71">
        <v>3</v>
      </c>
      <c r="CN16" s="72"/>
      <c r="CO16" s="71">
        <v>1</v>
      </c>
      <c r="CP16" s="72"/>
      <c r="CQ16" s="72">
        <v>1</v>
      </c>
      <c r="CR16" s="72"/>
      <c r="CS16" s="70">
        <v>1</v>
      </c>
      <c r="CT16" s="73"/>
      <c r="CU16" s="70">
        <v>1</v>
      </c>
      <c r="CV16" s="71">
        <v>1</v>
      </c>
      <c r="CW16" s="73">
        <v>1</v>
      </c>
      <c r="CX16" s="70"/>
      <c r="CY16" s="314" t="s">
        <v>290</v>
      </c>
      <c r="CZ16" s="71">
        <v>2</v>
      </c>
      <c r="DA16" s="72">
        <v>3</v>
      </c>
      <c r="DB16" s="71"/>
      <c r="DC16" s="72">
        <v>8</v>
      </c>
      <c r="DD16" s="70"/>
      <c r="DE16" s="70">
        <v>1</v>
      </c>
      <c r="DF16" s="72">
        <v>1</v>
      </c>
      <c r="DG16" s="232"/>
    </row>
    <row r="17" spans="1:130" ht="31.8" customHeight="1" x14ac:dyDescent="0.5">
      <c r="A17" s="13" t="s">
        <v>34</v>
      </c>
      <c r="B17" s="3" t="s">
        <v>35</v>
      </c>
      <c r="C17" s="2">
        <v>1913</v>
      </c>
      <c r="D17" s="55" t="s">
        <v>7</v>
      </c>
      <c r="E17" s="85" t="s">
        <v>278</v>
      </c>
      <c r="F17" s="263" t="s">
        <v>295</v>
      </c>
      <c r="G17" s="88">
        <v>2</v>
      </c>
      <c r="H17" s="223">
        <v>5</v>
      </c>
      <c r="I17" s="223"/>
      <c r="J17" s="223">
        <v>1</v>
      </c>
      <c r="K17" s="90"/>
      <c r="L17" s="90"/>
      <c r="M17" s="90"/>
      <c r="N17" s="249">
        <v>7</v>
      </c>
      <c r="O17" s="223">
        <v>1</v>
      </c>
      <c r="P17" s="329"/>
      <c r="Q17" s="90">
        <v>3</v>
      </c>
      <c r="R17" s="242">
        <v>3</v>
      </c>
      <c r="S17" s="329"/>
      <c r="T17" s="88"/>
      <c r="U17" s="90"/>
      <c r="V17" s="249">
        <v>1</v>
      </c>
      <c r="W17" s="249"/>
      <c r="X17" s="249"/>
      <c r="Y17" s="249"/>
      <c r="Z17" s="90"/>
      <c r="AA17" s="249"/>
      <c r="AB17" s="259"/>
      <c r="AC17" s="249"/>
      <c r="AD17" s="90"/>
      <c r="AE17" s="249"/>
      <c r="AF17" s="249"/>
      <c r="AG17" s="249"/>
      <c r="AH17" s="259"/>
      <c r="AI17" s="249"/>
      <c r="AJ17" s="314" t="s">
        <v>291</v>
      </c>
      <c r="AK17" s="88"/>
      <c r="AL17" s="90"/>
      <c r="AM17" s="223">
        <v>1</v>
      </c>
      <c r="AN17" s="247">
        <v>13</v>
      </c>
      <c r="AO17" s="223"/>
      <c r="AP17" s="90"/>
      <c r="AQ17" s="90"/>
      <c r="AR17" s="247">
        <v>6</v>
      </c>
      <c r="AS17" s="90"/>
      <c r="AT17" s="88">
        <v>1</v>
      </c>
      <c r="AU17" s="90"/>
      <c r="AV17" s="88"/>
      <c r="AW17" s="90"/>
      <c r="AX17" s="70">
        <v>1</v>
      </c>
      <c r="AY17" s="314" t="s">
        <v>299</v>
      </c>
      <c r="AZ17" s="88">
        <v>5</v>
      </c>
      <c r="BA17" s="244">
        <v>8</v>
      </c>
      <c r="BB17" s="88">
        <v>4</v>
      </c>
      <c r="BC17" s="244">
        <v>5</v>
      </c>
      <c r="BD17" s="223">
        <v>2</v>
      </c>
      <c r="BE17" s="329">
        <v>1</v>
      </c>
      <c r="BF17" s="249">
        <v>1</v>
      </c>
      <c r="BG17" s="329"/>
      <c r="BH17" s="88">
        <v>1</v>
      </c>
      <c r="BI17" s="90"/>
      <c r="BJ17" s="249"/>
      <c r="BK17" s="329"/>
      <c r="BL17" s="249"/>
      <c r="BM17" s="259"/>
      <c r="BN17" s="249">
        <v>1</v>
      </c>
      <c r="BO17" s="249"/>
      <c r="BP17" s="249"/>
      <c r="BQ17" s="259"/>
      <c r="BR17" s="259"/>
      <c r="BS17" s="259"/>
      <c r="BT17" s="314"/>
      <c r="BU17" s="103">
        <v>19</v>
      </c>
      <c r="BV17" s="76">
        <v>1</v>
      </c>
      <c r="BW17" s="76"/>
      <c r="BX17" s="76">
        <v>3</v>
      </c>
      <c r="BY17" s="76"/>
      <c r="BZ17" s="76"/>
      <c r="CA17" s="76"/>
      <c r="CB17" s="75"/>
      <c r="CC17" s="136">
        <v>6</v>
      </c>
      <c r="CD17" s="72"/>
      <c r="CE17" s="273">
        <v>11</v>
      </c>
      <c r="CF17" s="72"/>
      <c r="CG17" s="72"/>
      <c r="CH17" s="72">
        <v>2</v>
      </c>
      <c r="CI17" s="72"/>
      <c r="CJ17" s="74">
        <v>1</v>
      </c>
      <c r="CK17" s="105">
        <v>31</v>
      </c>
      <c r="CL17" s="340">
        <v>6</v>
      </c>
      <c r="CM17" s="103">
        <v>9</v>
      </c>
      <c r="CN17" s="273">
        <v>9</v>
      </c>
      <c r="CO17" s="71">
        <v>5</v>
      </c>
      <c r="CP17" s="72">
        <v>2</v>
      </c>
      <c r="CQ17" s="72"/>
      <c r="CR17" s="72"/>
      <c r="CS17" s="136">
        <v>6</v>
      </c>
      <c r="CT17" s="73">
        <v>2</v>
      </c>
      <c r="CU17" s="70">
        <v>2</v>
      </c>
      <c r="CV17" s="71"/>
      <c r="CW17" s="73"/>
      <c r="CX17" s="70">
        <v>2</v>
      </c>
      <c r="CY17" s="314" t="s">
        <v>291</v>
      </c>
      <c r="CZ17" s="71">
        <v>7</v>
      </c>
      <c r="DA17" s="106">
        <v>11</v>
      </c>
      <c r="DB17" s="71">
        <v>9</v>
      </c>
      <c r="DC17" s="72">
        <v>8</v>
      </c>
      <c r="DD17" s="272">
        <v>12</v>
      </c>
      <c r="DE17" s="70">
        <v>2</v>
      </c>
      <c r="DF17" s="72"/>
      <c r="DG17" s="232"/>
    </row>
    <row r="18" spans="1:130" s="47" customFormat="1" ht="31.8" thickBot="1" x14ac:dyDescent="0.55000000000000004">
      <c r="A18" s="14" t="s">
        <v>36</v>
      </c>
      <c r="B18" s="15" t="s">
        <v>37</v>
      </c>
      <c r="C18" s="16">
        <v>1914</v>
      </c>
      <c r="D18" s="56" t="s">
        <v>15</v>
      </c>
      <c r="E18" s="154" t="s">
        <v>168</v>
      </c>
      <c r="F18" s="271" t="s">
        <v>289</v>
      </c>
      <c r="G18" s="91">
        <v>1</v>
      </c>
      <c r="H18" s="224"/>
      <c r="I18" s="224"/>
      <c r="J18" s="224"/>
      <c r="K18" s="93"/>
      <c r="L18" s="93"/>
      <c r="M18" s="93"/>
      <c r="N18" s="250">
        <v>4</v>
      </c>
      <c r="O18" s="224">
        <v>1</v>
      </c>
      <c r="P18" s="330"/>
      <c r="Q18" s="93">
        <v>3</v>
      </c>
      <c r="R18" s="224"/>
      <c r="S18" s="330"/>
      <c r="T18" s="91"/>
      <c r="U18" s="93"/>
      <c r="V18" s="250"/>
      <c r="W18" s="250"/>
      <c r="X18" s="250"/>
      <c r="Y18" s="250"/>
      <c r="Z18" s="93"/>
      <c r="AA18" s="250"/>
      <c r="AB18" s="260"/>
      <c r="AC18" s="250"/>
      <c r="AD18" s="93"/>
      <c r="AE18" s="250"/>
      <c r="AF18" s="250"/>
      <c r="AG18" s="250"/>
      <c r="AH18" s="260"/>
      <c r="AI18" s="250"/>
      <c r="AJ18" s="316" t="s">
        <v>292</v>
      </c>
      <c r="AK18" s="91">
        <v>4</v>
      </c>
      <c r="AL18" s="93"/>
      <c r="AM18" s="224">
        <v>1</v>
      </c>
      <c r="AN18" s="319">
        <v>5</v>
      </c>
      <c r="AO18" s="224"/>
      <c r="AP18" s="93"/>
      <c r="AQ18" s="93"/>
      <c r="AR18" s="91">
        <v>2</v>
      </c>
      <c r="AS18" s="93"/>
      <c r="AT18" s="91"/>
      <c r="AU18" s="93"/>
      <c r="AV18" s="91"/>
      <c r="AW18" s="93">
        <v>1</v>
      </c>
      <c r="AX18" s="77"/>
      <c r="AY18" s="316" t="s">
        <v>292</v>
      </c>
      <c r="AZ18" s="319">
        <v>12</v>
      </c>
      <c r="BA18" s="93">
        <v>1</v>
      </c>
      <c r="BB18" s="91"/>
      <c r="BC18" s="93">
        <v>2</v>
      </c>
      <c r="BD18" s="224"/>
      <c r="BE18" s="330"/>
      <c r="BF18" s="250"/>
      <c r="BG18" s="330"/>
      <c r="BH18" s="91">
        <v>1</v>
      </c>
      <c r="BI18" s="93"/>
      <c r="BJ18" s="250"/>
      <c r="BK18" s="330"/>
      <c r="BL18" s="250"/>
      <c r="BM18" s="260"/>
      <c r="BN18" s="250"/>
      <c r="BO18" s="250"/>
      <c r="BP18" s="250"/>
      <c r="BQ18" s="260"/>
      <c r="BR18" s="260"/>
      <c r="BS18" s="260"/>
      <c r="BT18" s="316"/>
      <c r="BU18" s="79">
        <v>7</v>
      </c>
      <c r="BV18" s="81">
        <v>3</v>
      </c>
      <c r="BW18" s="81">
        <v>3</v>
      </c>
      <c r="BX18" s="81">
        <v>2</v>
      </c>
      <c r="BY18" s="81"/>
      <c r="BZ18" s="81"/>
      <c r="CA18" s="81"/>
      <c r="CB18" s="80">
        <v>1</v>
      </c>
      <c r="CC18" s="351">
        <v>15</v>
      </c>
      <c r="CD18" s="95">
        <v>4</v>
      </c>
      <c r="CE18" s="95">
        <v>3</v>
      </c>
      <c r="CF18" s="95">
        <v>2</v>
      </c>
      <c r="CG18" s="95">
        <v>2</v>
      </c>
      <c r="CH18" s="346">
        <v>3</v>
      </c>
      <c r="CI18" s="95"/>
      <c r="CJ18" s="96"/>
      <c r="CK18" s="112">
        <v>22</v>
      </c>
      <c r="CL18" s="81">
        <v>2</v>
      </c>
      <c r="CM18" s="79">
        <v>1</v>
      </c>
      <c r="CN18" s="95">
        <v>3</v>
      </c>
      <c r="CO18" s="112">
        <v>9</v>
      </c>
      <c r="CP18" s="95"/>
      <c r="CQ18" s="95">
        <v>1</v>
      </c>
      <c r="CR18" s="95"/>
      <c r="CS18" s="77">
        <v>2</v>
      </c>
      <c r="CT18" s="78">
        <v>1</v>
      </c>
      <c r="CU18" s="77"/>
      <c r="CV18" s="79">
        <v>1</v>
      </c>
      <c r="CW18" s="78"/>
      <c r="CX18" s="77">
        <v>1</v>
      </c>
      <c r="CY18" s="316" t="s">
        <v>292</v>
      </c>
      <c r="CZ18" s="79">
        <v>6</v>
      </c>
      <c r="DA18" s="95">
        <v>9</v>
      </c>
      <c r="DB18" s="79">
        <v>4</v>
      </c>
      <c r="DC18" s="95">
        <v>4</v>
      </c>
      <c r="DD18" s="77"/>
      <c r="DE18" s="77"/>
      <c r="DF18" s="95"/>
      <c r="DG18" s="232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</row>
    <row r="19" spans="1:130" s="237" customFormat="1" ht="39.6" customHeight="1" thickTop="1" thickBot="1" x14ac:dyDescent="0.35">
      <c r="A19" s="522" t="s">
        <v>420</v>
      </c>
      <c r="B19" s="518"/>
      <c r="C19" s="518"/>
      <c r="D19" s="519"/>
      <c r="E19" s="520" t="s">
        <v>293</v>
      </c>
      <c r="F19" s="153" t="s">
        <v>141</v>
      </c>
      <c r="G19" s="161">
        <f t="shared" ref="G19:BL19" si="0">SUM(G4:G18)</f>
        <v>70</v>
      </c>
      <c r="H19" s="159">
        <f t="shared" si="0"/>
        <v>46</v>
      </c>
      <c r="I19" s="159">
        <f t="shared" si="0"/>
        <v>2</v>
      </c>
      <c r="J19" s="159">
        <f t="shared" si="0"/>
        <v>19</v>
      </c>
      <c r="K19" s="159">
        <f t="shared" si="0"/>
        <v>2</v>
      </c>
      <c r="L19" s="159">
        <f t="shared" si="0"/>
        <v>1</v>
      </c>
      <c r="M19" s="159">
        <f t="shared" si="0"/>
        <v>5</v>
      </c>
      <c r="N19" s="161">
        <f t="shared" ref="N19" si="1">SUM(N4:N18)</f>
        <v>88</v>
      </c>
      <c r="O19" s="353">
        <f t="shared" ref="O19" si="2">SUM(O4:O18)</f>
        <v>8</v>
      </c>
      <c r="P19" s="160">
        <f t="shared" si="0"/>
        <v>4</v>
      </c>
      <c r="Q19" s="159">
        <f t="shared" si="0"/>
        <v>23</v>
      </c>
      <c r="R19" s="159">
        <f t="shared" ref="R19:AB19" si="3">SUM(R4:R18)</f>
        <v>15</v>
      </c>
      <c r="S19" s="160">
        <f t="shared" si="3"/>
        <v>15</v>
      </c>
      <c r="T19" s="161">
        <f t="shared" si="3"/>
        <v>26</v>
      </c>
      <c r="U19" s="159">
        <f t="shared" si="3"/>
        <v>1</v>
      </c>
      <c r="V19" s="382">
        <f t="shared" si="3"/>
        <v>15</v>
      </c>
      <c r="W19" s="382">
        <v>5</v>
      </c>
      <c r="X19" s="382">
        <f t="shared" si="3"/>
        <v>5</v>
      </c>
      <c r="Y19" s="161">
        <f t="shared" si="3"/>
        <v>1</v>
      </c>
      <c r="Z19" s="159">
        <f t="shared" si="3"/>
        <v>3</v>
      </c>
      <c r="AA19" s="382">
        <v>4</v>
      </c>
      <c r="AB19" s="396">
        <f t="shared" si="3"/>
        <v>3</v>
      </c>
      <c r="AC19" s="256">
        <v>1</v>
      </c>
      <c r="AD19" s="325">
        <v>1</v>
      </c>
      <c r="AE19" s="382">
        <v>1</v>
      </c>
      <c r="AF19" s="382">
        <v>1</v>
      </c>
      <c r="AG19" s="382">
        <v>1</v>
      </c>
      <c r="AH19" s="396">
        <v>1</v>
      </c>
      <c r="AI19" s="382">
        <v>1</v>
      </c>
      <c r="AJ19" s="153" t="s">
        <v>141</v>
      </c>
      <c r="AK19" s="161">
        <f t="shared" ref="AK19:AX19" si="4">SUM(AK4:AK18)</f>
        <v>30</v>
      </c>
      <c r="AL19" s="159">
        <f t="shared" ref="AL19" si="5">SUM(AL4:AL18)</f>
        <v>24</v>
      </c>
      <c r="AM19" s="159">
        <f t="shared" si="4"/>
        <v>9</v>
      </c>
      <c r="AN19" s="161">
        <f t="shared" si="0"/>
        <v>42</v>
      </c>
      <c r="AO19" s="159">
        <f t="shared" si="4"/>
        <v>7</v>
      </c>
      <c r="AP19" s="159">
        <f t="shared" si="4"/>
        <v>1</v>
      </c>
      <c r="AQ19" s="159">
        <f t="shared" si="4"/>
        <v>2</v>
      </c>
      <c r="AR19" s="161">
        <f t="shared" si="4"/>
        <v>20</v>
      </c>
      <c r="AS19" s="159">
        <f t="shared" si="4"/>
        <v>3</v>
      </c>
      <c r="AT19" s="161">
        <f t="shared" si="4"/>
        <v>10</v>
      </c>
      <c r="AU19" s="159">
        <f t="shared" si="4"/>
        <v>2</v>
      </c>
      <c r="AV19" s="161">
        <f t="shared" si="4"/>
        <v>4</v>
      </c>
      <c r="AW19" s="159">
        <f t="shared" si="4"/>
        <v>3</v>
      </c>
      <c r="AX19" s="452">
        <f t="shared" si="4"/>
        <v>6</v>
      </c>
      <c r="AY19" s="153" t="s">
        <v>141</v>
      </c>
      <c r="AZ19" s="321">
        <f>SUM(AZ4:AZ18)</f>
        <v>76</v>
      </c>
      <c r="BA19" s="324">
        <f>SUM(BA4:BA18)</f>
        <v>39</v>
      </c>
      <c r="BB19" s="161">
        <f t="shared" ref="BB19:BD19" si="6">SUM(BB4:BB18)</f>
        <v>43</v>
      </c>
      <c r="BC19" s="159">
        <f t="shared" si="6"/>
        <v>33</v>
      </c>
      <c r="BD19" s="353">
        <f t="shared" si="6"/>
        <v>21</v>
      </c>
      <c r="BE19" s="160">
        <f t="shared" si="0"/>
        <v>9</v>
      </c>
      <c r="BF19" s="161">
        <f t="shared" ref="BF19:BG19" si="7">SUM(BF4:BF18)</f>
        <v>70</v>
      </c>
      <c r="BG19" s="160">
        <f t="shared" si="7"/>
        <v>1</v>
      </c>
      <c r="BH19" s="161">
        <f t="shared" si="0"/>
        <v>31</v>
      </c>
      <c r="BI19" s="159">
        <f t="shared" si="0"/>
        <v>2</v>
      </c>
      <c r="BJ19" s="161">
        <f t="shared" ref="BJ19" si="8">SUM(BJ4:BJ18)</f>
        <v>18</v>
      </c>
      <c r="BK19" s="160">
        <f t="shared" si="0"/>
        <v>1</v>
      </c>
      <c r="BL19" s="382">
        <f t="shared" si="0"/>
        <v>12</v>
      </c>
      <c r="BM19" s="396">
        <f t="shared" ref="BM19" si="9">SUM(BM4:BM18)</f>
        <v>8</v>
      </c>
      <c r="BN19" s="382">
        <v>3</v>
      </c>
      <c r="BO19" s="382">
        <v>1</v>
      </c>
      <c r="BP19" s="382">
        <v>1</v>
      </c>
      <c r="BQ19" s="396">
        <v>1</v>
      </c>
      <c r="BR19" s="396">
        <v>1</v>
      </c>
      <c r="BS19" s="396">
        <v>1</v>
      </c>
      <c r="BT19" s="153" t="s">
        <v>141</v>
      </c>
      <c r="BU19" s="162">
        <f>SUM(BU4:BU18)</f>
        <v>132</v>
      </c>
      <c r="BV19" s="159">
        <f t="shared" ref="BV19:BW19" si="10">SUM(BV4:BV18)</f>
        <v>49</v>
      </c>
      <c r="BW19" s="159">
        <f t="shared" si="10"/>
        <v>32</v>
      </c>
      <c r="BX19" s="159">
        <f t="shared" ref="BX19:CC19" si="11">SUM(BX4:BX18)</f>
        <v>26</v>
      </c>
      <c r="BY19" s="159">
        <f t="shared" ref="BY19" si="12">SUM(BY4:BY18)</f>
        <v>26</v>
      </c>
      <c r="BZ19" s="159">
        <f t="shared" si="11"/>
        <v>2</v>
      </c>
      <c r="CA19" s="159">
        <f t="shared" si="11"/>
        <v>1</v>
      </c>
      <c r="CB19" s="159">
        <f t="shared" si="11"/>
        <v>3</v>
      </c>
      <c r="CC19" s="161">
        <f t="shared" si="11"/>
        <v>76</v>
      </c>
      <c r="CD19" s="159">
        <f t="shared" ref="CD19:CR19" si="13">SUM(CD4:CD18)</f>
        <v>50</v>
      </c>
      <c r="CE19" s="159">
        <f t="shared" ref="CE19" si="14">SUM(CE4:CE18)</f>
        <v>46</v>
      </c>
      <c r="CF19" s="159">
        <f t="shared" si="13"/>
        <v>27</v>
      </c>
      <c r="CG19" s="159">
        <f t="shared" ref="CG19:CH19" si="15">SUM(CG4:CG18)</f>
        <v>15</v>
      </c>
      <c r="CH19" s="159">
        <f t="shared" si="15"/>
        <v>13</v>
      </c>
      <c r="CI19" s="159">
        <f t="shared" si="13"/>
        <v>2</v>
      </c>
      <c r="CJ19" s="160">
        <f t="shared" si="13"/>
        <v>6</v>
      </c>
      <c r="CK19" s="161">
        <f t="shared" si="13"/>
        <v>170</v>
      </c>
      <c r="CL19" s="159">
        <f t="shared" si="13"/>
        <v>30</v>
      </c>
      <c r="CM19" s="161">
        <f t="shared" si="13"/>
        <v>65</v>
      </c>
      <c r="CN19" s="159">
        <f t="shared" si="13"/>
        <v>27</v>
      </c>
      <c r="CO19" s="161">
        <f t="shared" si="13"/>
        <v>60</v>
      </c>
      <c r="CP19" s="159">
        <f t="shared" ref="CP19" si="16">SUM(CP4:CP18)</f>
        <v>12</v>
      </c>
      <c r="CQ19" s="159">
        <f t="shared" si="13"/>
        <v>7</v>
      </c>
      <c r="CR19" s="159">
        <f t="shared" si="13"/>
        <v>3</v>
      </c>
      <c r="CS19" s="161">
        <f t="shared" ref="CS19:CT19" si="17">SUM(CS4:CS18)</f>
        <v>44</v>
      </c>
      <c r="CT19" s="160">
        <f t="shared" si="17"/>
        <v>26</v>
      </c>
      <c r="CU19" s="396">
        <f t="shared" ref="CU19" si="18">SUM(CU4:CU18)</f>
        <v>11</v>
      </c>
      <c r="CV19" s="161">
        <f>SUM(CV4:CV18)</f>
        <v>8</v>
      </c>
      <c r="CW19" s="159">
        <f t="shared" ref="CW19" si="19">SUM(CW4:CW18)</f>
        <v>1</v>
      </c>
      <c r="CX19" s="382">
        <v>7</v>
      </c>
      <c r="CY19" s="153" t="s">
        <v>141</v>
      </c>
      <c r="CZ19" s="161">
        <f t="shared" ref="CZ19:DC19" si="20">SUM(CZ4:CZ18)</f>
        <v>85</v>
      </c>
      <c r="DA19" s="159">
        <f t="shared" si="20"/>
        <v>84</v>
      </c>
      <c r="DB19" s="161">
        <f t="shared" si="20"/>
        <v>64</v>
      </c>
      <c r="DC19" s="159">
        <f t="shared" si="20"/>
        <v>63</v>
      </c>
      <c r="DD19" s="382">
        <f t="shared" ref="DD19:DE19" si="21">SUM(DD4:DD18)</f>
        <v>43</v>
      </c>
      <c r="DE19" s="161">
        <f t="shared" si="21"/>
        <v>17</v>
      </c>
      <c r="DF19" s="353">
        <f t="shared" ref="DF19" si="22">SUM(DF4:DF18)</f>
        <v>10</v>
      </c>
      <c r="DG19" s="232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</row>
    <row r="20" spans="1:130" s="236" customFormat="1" ht="50.4" customHeight="1" thickTop="1" thickBot="1" x14ac:dyDescent="0.35">
      <c r="A20" s="523" t="s">
        <v>423</v>
      </c>
      <c r="B20" s="380"/>
      <c r="C20" s="380"/>
      <c r="D20" s="381"/>
      <c r="E20" s="521"/>
      <c r="F20" s="234" t="s">
        <v>140</v>
      </c>
      <c r="G20" s="503">
        <v>145</v>
      </c>
      <c r="H20" s="504"/>
      <c r="I20" s="504"/>
      <c r="J20" s="504"/>
      <c r="K20" s="504"/>
      <c r="L20" s="504"/>
      <c r="M20" s="504"/>
      <c r="N20" s="503">
        <v>100</v>
      </c>
      <c r="O20" s="504"/>
      <c r="P20" s="505"/>
      <c r="Q20" s="503">
        <v>53</v>
      </c>
      <c r="R20" s="504"/>
      <c r="S20" s="505"/>
      <c r="T20" s="503">
        <v>27</v>
      </c>
      <c r="U20" s="504"/>
      <c r="V20" s="383"/>
      <c r="W20" s="383"/>
      <c r="X20" s="383"/>
      <c r="Y20" s="386">
        <v>4</v>
      </c>
      <c r="Z20" s="387"/>
      <c r="AA20" s="508"/>
      <c r="AB20" s="397"/>
      <c r="AC20" s="383">
        <v>2</v>
      </c>
      <c r="AD20" s="516"/>
      <c r="AE20" s="383"/>
      <c r="AF20" s="383"/>
      <c r="AG20" s="383"/>
      <c r="AH20" s="397"/>
      <c r="AI20" s="383"/>
      <c r="AJ20" s="234" t="s">
        <v>140</v>
      </c>
      <c r="AK20" s="386">
        <v>63</v>
      </c>
      <c r="AL20" s="387"/>
      <c r="AM20" s="387"/>
      <c r="AN20" s="386">
        <v>52</v>
      </c>
      <c r="AO20" s="387"/>
      <c r="AP20" s="387"/>
      <c r="AQ20" s="387"/>
      <c r="AR20" s="386">
        <v>23</v>
      </c>
      <c r="AS20" s="387"/>
      <c r="AT20" s="386">
        <v>12</v>
      </c>
      <c r="AU20" s="387"/>
      <c r="AV20" s="386">
        <v>7</v>
      </c>
      <c r="AW20" s="387"/>
      <c r="AX20" s="453"/>
      <c r="AY20" s="234" t="s">
        <v>140</v>
      </c>
      <c r="AZ20" s="503">
        <v>115</v>
      </c>
      <c r="BA20" s="504"/>
      <c r="BB20" s="503">
        <v>106</v>
      </c>
      <c r="BC20" s="504"/>
      <c r="BD20" s="504"/>
      <c r="BE20" s="505"/>
      <c r="BF20" s="503">
        <v>71</v>
      </c>
      <c r="BG20" s="504"/>
      <c r="BH20" s="503">
        <v>33</v>
      </c>
      <c r="BI20" s="504"/>
      <c r="BJ20" s="503">
        <v>19</v>
      </c>
      <c r="BK20" s="505"/>
      <c r="BL20" s="383"/>
      <c r="BM20" s="397"/>
      <c r="BN20" s="383"/>
      <c r="BO20" s="383"/>
      <c r="BP20" s="383"/>
      <c r="BQ20" s="397"/>
      <c r="BR20" s="397"/>
      <c r="BS20" s="397"/>
      <c r="BT20" s="234" t="s">
        <v>140</v>
      </c>
      <c r="BU20" s="386">
        <v>271</v>
      </c>
      <c r="BV20" s="387"/>
      <c r="BW20" s="387"/>
      <c r="BX20" s="387"/>
      <c r="BY20" s="387"/>
      <c r="BZ20" s="387"/>
      <c r="CA20" s="387"/>
      <c r="CB20" s="387"/>
      <c r="CC20" s="386">
        <v>235</v>
      </c>
      <c r="CD20" s="387"/>
      <c r="CE20" s="387"/>
      <c r="CF20" s="387"/>
      <c r="CG20" s="387"/>
      <c r="CH20" s="387"/>
      <c r="CI20" s="387"/>
      <c r="CJ20" s="394"/>
      <c r="CK20" s="386">
        <v>200</v>
      </c>
      <c r="CL20" s="394"/>
      <c r="CM20" s="386">
        <v>92</v>
      </c>
      <c r="CN20" s="394"/>
      <c r="CO20" s="386">
        <v>82</v>
      </c>
      <c r="CP20" s="387"/>
      <c r="CQ20" s="387"/>
      <c r="CR20" s="394"/>
      <c r="CS20" s="386">
        <v>70</v>
      </c>
      <c r="CT20" s="394"/>
      <c r="CU20" s="397"/>
      <c r="CV20" s="386">
        <v>9</v>
      </c>
      <c r="CW20" s="394"/>
      <c r="CX20" s="383"/>
      <c r="CY20" s="234" t="s">
        <v>140</v>
      </c>
      <c r="CZ20" s="512">
        <v>169</v>
      </c>
      <c r="DA20" s="513"/>
      <c r="DB20" s="512">
        <v>127</v>
      </c>
      <c r="DC20" s="515"/>
      <c r="DD20" s="514"/>
      <c r="DE20" s="512">
        <v>27</v>
      </c>
      <c r="DF20" s="513"/>
      <c r="DG20" s="238"/>
      <c r="DH20" s="235"/>
      <c r="DI20" s="235"/>
      <c r="DJ20" s="235"/>
      <c r="DK20" s="235"/>
      <c r="DL20" s="235"/>
      <c r="DM20" s="235"/>
      <c r="DN20" s="235"/>
      <c r="DO20" s="235"/>
      <c r="DP20" s="235"/>
      <c r="DQ20" s="235"/>
      <c r="DR20" s="235"/>
      <c r="DS20" s="235"/>
      <c r="DT20" s="235"/>
      <c r="DU20" s="235"/>
      <c r="DV20" s="235"/>
      <c r="DW20" s="235"/>
      <c r="DX20" s="235"/>
      <c r="DY20" s="235"/>
      <c r="DZ20" s="235"/>
    </row>
    <row r="21" spans="1:130" ht="49.2" customHeight="1" thickTop="1" thickBot="1" x14ac:dyDescent="0.45">
      <c r="A21" s="524" t="s">
        <v>424</v>
      </c>
      <c r="B21" s="525"/>
      <c r="C21" s="525"/>
      <c r="D21" s="526"/>
      <c r="F21" s="266"/>
      <c r="AJ21" s="266"/>
      <c r="AY21" s="266"/>
      <c r="BT21" s="266"/>
      <c r="BV21" s="233"/>
      <c r="CY21" s="266"/>
    </row>
    <row r="22" spans="1:130" ht="15" thickTop="1" x14ac:dyDescent="0.3"/>
  </sheetData>
  <mergeCells count="115">
    <mergeCell ref="A21:D21"/>
    <mergeCell ref="BO19:BO20"/>
    <mergeCell ref="BP19:BP20"/>
    <mergeCell ref="BQ19:BQ20"/>
    <mergeCell ref="BH20:BI20"/>
    <mergeCell ref="Y20:Z20"/>
    <mergeCell ref="AB2:AB3"/>
    <mergeCell ref="AC2:AD2"/>
    <mergeCell ref="AC20:AD20"/>
    <mergeCell ref="AE2:AE3"/>
    <mergeCell ref="AE19:AE20"/>
    <mergeCell ref="AZ2:BA2"/>
    <mergeCell ref="BF20:BG20"/>
    <mergeCell ref="BF2:BG2"/>
    <mergeCell ref="BL19:BL20"/>
    <mergeCell ref="AK1:AX1"/>
    <mergeCell ref="AX19:AX20"/>
    <mergeCell ref="BM19:BM20"/>
    <mergeCell ref="Y2:Z2"/>
    <mergeCell ref="E19:E20"/>
    <mergeCell ref="Q20:S20"/>
    <mergeCell ref="Q2:S2"/>
    <mergeCell ref="AA2:AA3"/>
    <mergeCell ref="BJ2:BK2"/>
    <mergeCell ref="BJ20:BK20"/>
    <mergeCell ref="CZ1:DF1"/>
    <mergeCell ref="CZ20:DA20"/>
    <mergeCell ref="DD19:DD20"/>
    <mergeCell ref="DE20:DF20"/>
    <mergeCell ref="DB20:DC20"/>
    <mergeCell ref="DB2:DC2"/>
    <mergeCell ref="CV20:CW20"/>
    <mergeCell ref="BU1:CX1"/>
    <mergeCell ref="CK2:CL2"/>
    <mergeCell ref="CK20:CL20"/>
    <mergeCell ref="CU19:CU20"/>
    <mergeCell ref="CS20:CT20"/>
    <mergeCell ref="CS2:CT2"/>
    <mergeCell ref="CX2:CX3"/>
    <mergeCell ref="CX19:CX20"/>
    <mergeCell ref="BU20:CB20"/>
    <mergeCell ref="CM20:CN20"/>
    <mergeCell ref="CO20:CR20"/>
    <mergeCell ref="CC2:CJ2"/>
    <mergeCell ref="CC20:CJ20"/>
    <mergeCell ref="A1:D1"/>
    <mergeCell ref="AF19:AF20"/>
    <mergeCell ref="AI19:AI20"/>
    <mergeCell ref="AG19:AG20"/>
    <mergeCell ref="AG2:AG3"/>
    <mergeCell ref="AH2:AH3"/>
    <mergeCell ref="AH19:AH20"/>
    <mergeCell ref="G20:M20"/>
    <mergeCell ref="N20:P20"/>
    <mergeCell ref="AB19:AB20"/>
    <mergeCell ref="AA19:AA20"/>
    <mergeCell ref="W19:W20"/>
    <mergeCell ref="E1:E3"/>
    <mergeCell ref="T20:U20"/>
    <mergeCell ref="T2:U2"/>
    <mergeCell ref="V19:V20"/>
    <mergeCell ref="X19:X20"/>
    <mergeCell ref="V2:V3"/>
    <mergeCell ref="X2:X3"/>
    <mergeCell ref="F1:F3"/>
    <mergeCell ref="A20:D20"/>
    <mergeCell ref="A19:D19"/>
    <mergeCell ref="G1:AI1"/>
    <mergeCell ref="A2:A3"/>
    <mergeCell ref="B2:B3"/>
    <mergeCell ref="C2:C3"/>
    <mergeCell ref="D2:D3"/>
    <mergeCell ref="BU2:CB2"/>
    <mergeCell ref="DE2:DF2"/>
    <mergeCell ref="CO2:CR2"/>
    <mergeCell ref="N2:P2"/>
    <mergeCell ref="BH2:BI2"/>
    <mergeCell ref="CM2:CN2"/>
    <mergeCell ref="G2:M2"/>
    <mergeCell ref="CZ2:DA2"/>
    <mergeCell ref="W2:W3"/>
    <mergeCell ref="AI2:AI3"/>
    <mergeCell ref="BQ2:BQ3"/>
    <mergeCell ref="BR2:BR3"/>
    <mergeCell ref="BS2:BS3"/>
    <mergeCell ref="AF2:AF3"/>
    <mergeCell ref="AK2:AM2"/>
    <mergeCell ref="AN2:AQ2"/>
    <mergeCell ref="AR2:AS2"/>
    <mergeCell ref="AT2:AU2"/>
    <mergeCell ref="BT1:BT3"/>
    <mergeCell ref="CY1:CY3"/>
    <mergeCell ref="CU2:CU3"/>
    <mergeCell ref="BN2:BN3"/>
    <mergeCell ref="BN19:BN20"/>
    <mergeCell ref="AJ1:AJ3"/>
    <mergeCell ref="AY1:AY3"/>
    <mergeCell ref="BL2:BL3"/>
    <mergeCell ref="BM2:BM3"/>
    <mergeCell ref="BO2:BO3"/>
    <mergeCell ref="BP2:BP3"/>
    <mergeCell ref="CV2:CW2"/>
    <mergeCell ref="BR19:BR20"/>
    <mergeCell ref="BS19:BS20"/>
    <mergeCell ref="AK20:AM20"/>
    <mergeCell ref="AN20:AQ20"/>
    <mergeCell ref="AR20:AS20"/>
    <mergeCell ref="AT20:AU20"/>
    <mergeCell ref="AV20:AW20"/>
    <mergeCell ref="AV2:AW2"/>
    <mergeCell ref="AZ1:BS1"/>
    <mergeCell ref="AZ20:BA20"/>
    <mergeCell ref="BB2:BE2"/>
    <mergeCell ref="BB20:BE20"/>
    <mergeCell ref="AX2:AX3"/>
  </mergeCells>
  <conditionalFormatting sqref="A4:A11 A13 A15:A18">
    <cfRule type="colorScale" priority="2">
      <colorScale>
        <cfvo type="min"/>
        <cfvo type="max"/>
        <color rgb="FF63BE7B"/>
        <color rgb="FFFCFCFF"/>
      </colorScale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{090F01E8-EF48-4634-B506-036707420831}</x14:id>
        </ext>
      </extLst>
    </cfRule>
  </conditionalFormatting>
  <hyperlinks>
    <hyperlink ref="D18" r:id="rId1" display="https://archive.org/details/throughspainreco00dickrich/page/n13/mode/2up" xr:uid="{F39F816C-1DBD-4F88-8627-F25723F384BB}"/>
    <hyperlink ref="D17" r:id="rId2" display="https://www.gutenberg.org/ebooks/7430" xr:uid="{F80FE10B-C224-4FCA-9534-49175441D995}"/>
    <hyperlink ref="D16" r:id="rId3" display="https://www.gutenberg.org/ebooks/40201" xr:uid="{DA1F280C-3303-4348-8BAB-165CAF2F0092}"/>
    <hyperlink ref="D10" r:id="rId4" display="https://archive.org/details/sunshadowinspain00elliuoft" xr:uid="{7BFDDF34-933C-4895-8A3A-9F39D6980C15}"/>
    <hyperlink ref="D8" r:id="rId5" display="https://www.gutenberg.org/ebooks/27252" xr:uid="{1E6AF73C-AF1C-4CE9-82F0-B15638CE1C43}"/>
    <hyperlink ref="D7" r:id="rId6" display="https://archive.org/details/atrampinspain00unkngoog/page/n8/mode/2up" xr:uid="{90755801-2E36-462F-96BC-E400465D6DAE}"/>
    <hyperlink ref="D6" r:id="rId7" display="https://www.gutenberg.org/ebooks/59944" xr:uid="{CD15B7D8-4848-4CF2-8549-9DD579A4468A}"/>
    <hyperlink ref="D4" r:id="rId8" display="https://www.gutenberg.org/ebooks/38767" xr:uid="{68822EA0-91B1-4B9E-8C11-FD9C926EDCF4}"/>
    <hyperlink ref="D9" r:id="rId9" display="https://www.gutenberg.org/ebooks/37944" xr:uid="{66C04CD1-3D6B-462E-A17D-968D422369DC}"/>
    <hyperlink ref="D13" r:id="rId10" display="https://www.gutenberg.org/ebooks/41593" xr:uid="{87C69B8A-DAD5-417C-AF06-07F47EE1F6F8}"/>
    <hyperlink ref="D11" r:id="rId11" display="https://www.gutenberg.org/ebooks/40356" xr:uid="{FB55032F-9CE8-4418-870E-07FF801F9279}"/>
    <hyperlink ref="D5" r:id="rId12" display="https://archive.org/details/landofdons00will/page/n19/mode/2up" xr:uid="{4799C196-721B-47AF-A0CB-E91B2280ECA3}"/>
    <hyperlink ref="D15" r:id="rId13" display="https://www.gutenberg.org/ebooks/40357" xr:uid="{6F81DED8-5AB7-4EE2-B09B-94A2FBA4FD52}"/>
    <hyperlink ref="D12" r:id="rId14" display="https://archive.org/details/spainoftodaynarr00shaw/page/n11/mode/2up" xr:uid="{147CE0EF-AABA-4878-B05E-51A1885596C5}"/>
    <hyperlink ref="D14" r:id="rId15" display="https://www.gutenberg.org/ebooks/author/39917" xr:uid="{D06C5E66-E3B1-47C4-A5DF-EC2D527844FD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0F01E8-EF48-4634-B506-0367074208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A4:A11 A13 A15:A18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46A57-726F-40DF-AD6C-B26CCBF049DF}">
  <dimension ref="A1:BS23"/>
  <sheetViews>
    <sheetView tabSelected="1" zoomScale="50" zoomScaleNormal="50" workbookViewId="0">
      <selection sqref="A1:E1"/>
    </sheetView>
  </sheetViews>
  <sheetFormatPr baseColWidth="10" defaultColWidth="8.88671875" defaultRowHeight="14.4" x14ac:dyDescent="0.3"/>
  <cols>
    <col min="1" max="1" width="79" customWidth="1"/>
    <col min="2" max="2" width="58.77734375" customWidth="1"/>
    <col min="3" max="3" width="26.88671875" customWidth="1"/>
    <col min="4" max="4" width="25.6640625" customWidth="1"/>
    <col min="5" max="5" width="31.44140625" customWidth="1"/>
    <col min="6" max="6" width="33.21875" customWidth="1"/>
    <col min="7" max="7" width="22.77734375" customWidth="1"/>
    <col min="8" max="8" width="18.5546875" customWidth="1"/>
    <col min="9" max="9" width="20.109375" customWidth="1"/>
    <col min="10" max="10" width="14.77734375" customWidth="1"/>
    <col min="11" max="11" width="15" customWidth="1"/>
    <col min="12" max="14" width="17.44140625" customWidth="1"/>
    <col min="15" max="15" width="28.77734375" customWidth="1"/>
    <col min="16" max="18" width="19.44140625" customWidth="1"/>
    <col min="19" max="19" width="17.21875" customWidth="1"/>
    <col min="20" max="20" width="33.21875" customWidth="1"/>
    <col min="21" max="22" width="14.109375" customWidth="1"/>
    <col min="23" max="23" width="13.88671875" customWidth="1"/>
    <col min="24" max="25" width="17.21875" customWidth="1"/>
    <col min="26" max="26" width="13.88671875" customWidth="1"/>
    <col min="27" max="27" width="12.109375" customWidth="1"/>
    <col min="28" max="28" width="15" customWidth="1"/>
    <col min="29" max="29" width="17.5546875" customWidth="1"/>
    <col min="30" max="30" width="14.6640625" customWidth="1"/>
    <col min="31" max="31" width="12.33203125" customWidth="1"/>
    <col min="32" max="32" width="13.21875" customWidth="1"/>
    <col min="33" max="33" width="15" customWidth="1"/>
    <col min="34" max="34" width="15.5546875" customWidth="1"/>
    <col min="35" max="35" width="16.77734375" customWidth="1"/>
    <col min="36" max="36" width="13.5546875" customWidth="1"/>
  </cols>
  <sheetData>
    <row r="1" spans="1:36" ht="46.8" customHeight="1" thickBot="1" x14ac:dyDescent="0.55000000000000004">
      <c r="A1" s="403" t="s">
        <v>0</v>
      </c>
      <c r="B1" s="404"/>
      <c r="C1" s="404"/>
      <c r="D1" s="404"/>
      <c r="E1" s="405"/>
      <c r="F1" s="398" t="s">
        <v>294</v>
      </c>
      <c r="G1" s="401" t="s">
        <v>171</v>
      </c>
      <c r="H1" s="392"/>
      <c r="I1" s="392"/>
      <c r="J1" s="392"/>
      <c r="K1" s="392"/>
      <c r="L1" s="392"/>
      <c r="M1" s="392"/>
      <c r="N1" s="392"/>
      <c r="O1" s="392"/>
      <c r="P1" s="392"/>
      <c r="Q1" s="392"/>
      <c r="R1" s="392"/>
      <c r="S1" s="402"/>
      <c r="T1" s="398" t="s">
        <v>294</v>
      </c>
      <c r="U1" s="391" t="s">
        <v>109</v>
      </c>
      <c r="V1" s="392"/>
      <c r="W1" s="392"/>
      <c r="X1" s="392"/>
      <c r="Y1" s="392"/>
      <c r="Z1" s="392"/>
      <c r="AA1" s="392"/>
      <c r="AB1" s="392"/>
      <c r="AC1" s="392"/>
      <c r="AD1" s="392"/>
      <c r="AE1" s="392"/>
      <c r="AF1" s="392"/>
      <c r="AG1" s="392"/>
      <c r="AH1" s="392"/>
      <c r="AI1" s="392"/>
    </row>
    <row r="2" spans="1:36" ht="36.6" customHeight="1" thickTop="1" x14ac:dyDescent="0.3">
      <c r="A2" s="406" t="s">
        <v>1</v>
      </c>
      <c r="B2" s="408" t="s">
        <v>2</v>
      </c>
      <c r="C2" s="408" t="s">
        <v>3</v>
      </c>
      <c r="D2" s="410" t="s">
        <v>4</v>
      </c>
      <c r="E2" s="420" t="s">
        <v>198</v>
      </c>
      <c r="F2" s="399"/>
      <c r="G2" s="412" t="s">
        <v>353</v>
      </c>
      <c r="H2" s="388" t="s">
        <v>354</v>
      </c>
      <c r="I2" s="388" t="s">
        <v>355</v>
      </c>
      <c r="J2" s="388" t="s">
        <v>356</v>
      </c>
      <c r="K2" s="388" t="s">
        <v>357</v>
      </c>
      <c r="L2" s="388" t="s">
        <v>358</v>
      </c>
      <c r="M2" s="384" t="s">
        <v>359</v>
      </c>
      <c r="N2" s="385"/>
      <c r="O2" s="388" t="s">
        <v>360</v>
      </c>
      <c r="P2" s="388" t="s">
        <v>361</v>
      </c>
      <c r="Q2" s="388" t="s">
        <v>362</v>
      </c>
      <c r="R2" s="388" t="s">
        <v>363</v>
      </c>
      <c r="S2" s="414" t="s">
        <v>364</v>
      </c>
      <c r="T2" s="399"/>
      <c r="U2" s="384" t="s">
        <v>365</v>
      </c>
      <c r="V2" s="385"/>
      <c r="W2" s="385"/>
      <c r="X2" s="384" t="s">
        <v>366</v>
      </c>
      <c r="Y2" s="395"/>
      <c r="Z2" s="384" t="s">
        <v>367</v>
      </c>
      <c r="AA2" s="385"/>
      <c r="AB2" s="395"/>
      <c r="AC2" s="275" t="s">
        <v>368</v>
      </c>
      <c r="AD2" s="276" t="s">
        <v>369</v>
      </c>
      <c r="AE2" s="388" t="s">
        <v>370</v>
      </c>
      <c r="AF2" s="418"/>
      <c r="AG2" s="419"/>
      <c r="AH2" s="384" t="s">
        <v>371</v>
      </c>
      <c r="AI2" s="390"/>
      <c r="AJ2" s="1"/>
    </row>
    <row r="3" spans="1:36" ht="48.6" customHeight="1" thickBot="1" x14ac:dyDescent="0.35">
      <c r="A3" s="407"/>
      <c r="B3" s="409"/>
      <c r="C3" s="409"/>
      <c r="D3" s="411"/>
      <c r="E3" s="421"/>
      <c r="F3" s="400"/>
      <c r="G3" s="413"/>
      <c r="H3" s="389"/>
      <c r="I3" s="389"/>
      <c r="J3" s="389"/>
      <c r="K3" s="389"/>
      <c r="L3" s="389"/>
      <c r="M3" s="304" t="s">
        <v>184</v>
      </c>
      <c r="N3" s="37" t="s">
        <v>183</v>
      </c>
      <c r="O3" s="389"/>
      <c r="P3" s="389"/>
      <c r="Q3" s="389"/>
      <c r="R3" s="389"/>
      <c r="S3" s="415"/>
      <c r="T3" s="400"/>
      <c r="U3" s="281" t="s">
        <v>176</v>
      </c>
      <c r="V3" s="18" t="s">
        <v>175</v>
      </c>
      <c r="W3" s="281" t="s">
        <v>177</v>
      </c>
      <c r="X3" s="282" t="s">
        <v>60</v>
      </c>
      <c r="Y3" s="52" t="s">
        <v>59</v>
      </c>
      <c r="Z3" s="284" t="s">
        <v>178</v>
      </c>
      <c r="AA3" s="283" t="s">
        <v>58</v>
      </c>
      <c r="AB3" s="296" t="s">
        <v>187</v>
      </c>
      <c r="AC3" s="277"/>
      <c r="AD3" s="278"/>
      <c r="AE3" s="282" t="s">
        <v>173</v>
      </c>
      <c r="AF3" s="284" t="s">
        <v>53</v>
      </c>
      <c r="AG3" s="285" t="s">
        <v>174</v>
      </c>
      <c r="AH3" s="286" t="s">
        <v>179</v>
      </c>
      <c r="AI3" s="283" t="s">
        <v>57</v>
      </c>
      <c r="AJ3" s="1"/>
    </row>
    <row r="4" spans="1:36" ht="37.200000000000003" customHeight="1" thickTop="1" x14ac:dyDescent="0.5">
      <c r="A4" s="9" t="s">
        <v>5</v>
      </c>
      <c r="B4" s="10" t="s">
        <v>6</v>
      </c>
      <c r="C4" s="11">
        <v>1900</v>
      </c>
      <c r="D4" s="12" t="s">
        <v>7</v>
      </c>
      <c r="E4" s="84" t="s">
        <v>181</v>
      </c>
      <c r="F4" s="265" t="s">
        <v>295</v>
      </c>
      <c r="G4" s="208">
        <v>9</v>
      </c>
      <c r="H4" s="63">
        <v>4</v>
      </c>
      <c r="I4" s="63">
        <v>1</v>
      </c>
      <c r="J4" s="63">
        <v>2</v>
      </c>
      <c r="K4" s="63"/>
      <c r="L4" s="63"/>
      <c r="M4" s="63"/>
      <c r="N4" s="32"/>
      <c r="O4" s="63"/>
      <c r="P4" s="63"/>
      <c r="Q4" s="63"/>
      <c r="R4" s="63"/>
      <c r="S4" s="307"/>
      <c r="T4" s="265" t="s">
        <v>295</v>
      </c>
      <c r="U4" s="146">
        <v>4</v>
      </c>
      <c r="V4" s="11">
        <v>8</v>
      </c>
      <c r="W4" s="146">
        <v>1</v>
      </c>
      <c r="X4" s="63">
        <v>5</v>
      </c>
      <c r="Y4" s="50">
        <v>2</v>
      </c>
      <c r="Z4" s="32">
        <v>11</v>
      </c>
      <c r="AA4" s="11"/>
      <c r="AB4" s="50"/>
      <c r="AC4" s="63">
        <v>9</v>
      </c>
      <c r="AD4" s="200">
        <v>2</v>
      </c>
      <c r="AE4" s="63">
        <v>1</v>
      </c>
      <c r="AF4" s="32"/>
      <c r="AG4" s="50"/>
      <c r="AH4" s="196"/>
      <c r="AI4" s="11">
        <v>1</v>
      </c>
      <c r="AJ4" s="1"/>
    </row>
    <row r="5" spans="1:36" ht="33.6" customHeight="1" x14ac:dyDescent="0.5">
      <c r="A5" s="13" t="s">
        <v>8</v>
      </c>
      <c r="B5" s="3" t="s">
        <v>9</v>
      </c>
      <c r="C5" s="2">
        <v>1902</v>
      </c>
      <c r="D5" s="5" t="s">
        <v>10</v>
      </c>
      <c r="E5" s="85" t="s">
        <v>180</v>
      </c>
      <c r="F5" s="263" t="s">
        <v>299</v>
      </c>
      <c r="G5" s="28"/>
      <c r="H5" s="29"/>
      <c r="I5" s="29"/>
      <c r="J5" s="29"/>
      <c r="K5" s="29"/>
      <c r="L5" s="29"/>
      <c r="M5" s="29"/>
      <c r="N5" s="28"/>
      <c r="O5" s="29"/>
      <c r="P5" s="29"/>
      <c r="Q5" s="29"/>
      <c r="R5" s="29"/>
      <c r="S5" s="308"/>
      <c r="T5" s="263" t="s">
        <v>299</v>
      </c>
      <c r="U5" s="147">
        <v>5</v>
      </c>
      <c r="V5" s="2">
        <v>4</v>
      </c>
      <c r="W5" s="147"/>
      <c r="X5" s="29">
        <v>4</v>
      </c>
      <c r="Y5" s="30">
        <v>3</v>
      </c>
      <c r="Z5" s="28">
        <v>1</v>
      </c>
      <c r="AA5" s="2">
        <v>1</v>
      </c>
      <c r="AB5" s="30"/>
      <c r="AC5" s="29">
        <v>5</v>
      </c>
      <c r="AD5" s="201"/>
      <c r="AE5" s="29"/>
      <c r="AF5" s="28"/>
      <c r="AG5" s="30"/>
      <c r="AH5" s="197"/>
      <c r="AI5" s="2"/>
      <c r="AJ5" s="1"/>
    </row>
    <row r="6" spans="1:36" ht="35.4" customHeight="1" x14ac:dyDescent="0.5">
      <c r="A6" s="13" t="s">
        <v>11</v>
      </c>
      <c r="B6" s="3" t="s">
        <v>12</v>
      </c>
      <c r="C6" s="2">
        <v>1903</v>
      </c>
      <c r="D6" s="4" t="s">
        <v>7</v>
      </c>
      <c r="E6" s="85" t="s">
        <v>182</v>
      </c>
      <c r="F6" s="263" t="s">
        <v>297</v>
      </c>
      <c r="G6" s="28"/>
      <c r="H6" s="29">
        <v>4</v>
      </c>
      <c r="I6" s="210">
        <v>3</v>
      </c>
      <c r="J6" s="29">
        <v>3</v>
      </c>
      <c r="K6" s="29"/>
      <c r="L6" s="29">
        <v>1</v>
      </c>
      <c r="M6" s="29"/>
      <c r="N6" s="28"/>
      <c r="O6" s="29"/>
      <c r="P6" s="29"/>
      <c r="Q6" s="29"/>
      <c r="R6" s="29"/>
      <c r="S6" s="308"/>
      <c r="T6" s="263" t="s">
        <v>297</v>
      </c>
      <c r="U6" s="147">
        <v>4</v>
      </c>
      <c r="V6" s="2">
        <v>9</v>
      </c>
      <c r="W6" s="147"/>
      <c r="X6" s="29">
        <v>7</v>
      </c>
      <c r="Y6" s="30">
        <v>4</v>
      </c>
      <c r="Z6" s="28">
        <v>3</v>
      </c>
      <c r="AA6" s="180">
        <v>10</v>
      </c>
      <c r="AB6" s="30"/>
      <c r="AC6" s="29">
        <v>5</v>
      </c>
      <c r="AD6" s="201">
        <v>34</v>
      </c>
      <c r="AE6" s="191">
        <v>14</v>
      </c>
      <c r="AF6" s="28"/>
      <c r="AG6" s="193">
        <v>15</v>
      </c>
      <c r="AH6" s="197"/>
      <c r="AI6" s="2"/>
      <c r="AJ6" s="1"/>
    </row>
    <row r="7" spans="1:36" ht="31.2" customHeight="1" x14ac:dyDescent="0.5">
      <c r="A7" s="13" t="s">
        <v>13</v>
      </c>
      <c r="B7" s="3" t="s">
        <v>14</v>
      </c>
      <c r="C7" s="2">
        <v>1904</v>
      </c>
      <c r="D7" s="4" t="s">
        <v>15</v>
      </c>
      <c r="E7" s="85" t="s">
        <v>185</v>
      </c>
      <c r="F7" s="263" t="s">
        <v>300</v>
      </c>
      <c r="G7" s="28">
        <v>2</v>
      </c>
      <c r="H7" s="210">
        <v>5</v>
      </c>
      <c r="I7" s="29"/>
      <c r="J7" s="29"/>
      <c r="K7" s="29"/>
      <c r="L7" s="29"/>
      <c r="M7" s="191">
        <v>10</v>
      </c>
      <c r="N7" s="28">
        <v>1</v>
      </c>
      <c r="O7" s="29"/>
      <c r="P7" s="191">
        <v>5</v>
      </c>
      <c r="Q7" s="29"/>
      <c r="R7" s="29"/>
      <c r="S7" s="308"/>
      <c r="T7" s="263" t="s">
        <v>300</v>
      </c>
      <c r="U7" s="147">
        <v>45</v>
      </c>
      <c r="V7" s="178">
        <v>20</v>
      </c>
      <c r="W7" s="147"/>
      <c r="X7" s="29">
        <v>6</v>
      </c>
      <c r="Y7" s="30"/>
      <c r="Z7" s="28">
        <v>6</v>
      </c>
      <c r="AA7" s="2"/>
      <c r="AB7" s="30"/>
      <c r="AC7" s="29">
        <v>5</v>
      </c>
      <c r="AD7" s="201"/>
      <c r="AE7" s="210">
        <v>4</v>
      </c>
      <c r="AF7" s="28"/>
      <c r="AG7" s="30">
        <v>1</v>
      </c>
      <c r="AH7" s="197"/>
      <c r="AI7" s="2"/>
      <c r="AJ7" s="1"/>
    </row>
    <row r="8" spans="1:36" ht="38.4" customHeight="1" thickBot="1" x14ac:dyDescent="0.55000000000000004">
      <c r="A8" s="14" t="s">
        <v>16</v>
      </c>
      <c r="B8" s="15" t="s">
        <v>17</v>
      </c>
      <c r="C8" s="16">
        <v>1905</v>
      </c>
      <c r="D8" s="17" t="s">
        <v>7</v>
      </c>
      <c r="E8" s="85" t="s">
        <v>186</v>
      </c>
      <c r="F8" s="264" t="s">
        <v>296</v>
      </c>
      <c r="G8" s="207">
        <v>9</v>
      </c>
      <c r="H8" s="45">
        <v>3</v>
      </c>
      <c r="I8" s="45"/>
      <c r="J8" s="45">
        <v>1</v>
      </c>
      <c r="K8" s="45"/>
      <c r="L8" s="45"/>
      <c r="M8" s="45"/>
      <c r="N8" s="37"/>
      <c r="O8" s="45"/>
      <c r="P8" s="45"/>
      <c r="Q8" s="45"/>
      <c r="R8" s="45"/>
      <c r="S8" s="309"/>
      <c r="T8" s="264" t="s">
        <v>296</v>
      </c>
      <c r="U8" s="148">
        <v>18</v>
      </c>
      <c r="V8" s="16">
        <v>4</v>
      </c>
      <c r="W8" s="148"/>
      <c r="X8" s="45">
        <v>3</v>
      </c>
      <c r="Y8" s="192">
        <v>14</v>
      </c>
      <c r="Z8" s="37">
        <v>11</v>
      </c>
      <c r="AA8" s="16"/>
      <c r="AB8" s="46"/>
      <c r="AC8" s="190">
        <v>14</v>
      </c>
      <c r="AD8" s="202">
        <v>4</v>
      </c>
      <c r="AE8" s="190">
        <v>4</v>
      </c>
      <c r="AF8" s="37"/>
      <c r="AG8" s="46"/>
      <c r="AH8" s="198"/>
      <c r="AI8" s="16"/>
      <c r="AJ8" s="1"/>
    </row>
    <row r="9" spans="1:36" ht="34.200000000000003" customHeight="1" thickTop="1" x14ac:dyDescent="0.5">
      <c r="A9" s="6" t="s">
        <v>11</v>
      </c>
      <c r="B9" s="7" t="s">
        <v>18</v>
      </c>
      <c r="C9" s="6">
        <v>1908</v>
      </c>
      <c r="D9" s="8" t="s">
        <v>7</v>
      </c>
      <c r="E9" s="85" t="s">
        <v>188</v>
      </c>
      <c r="F9" s="265" t="s">
        <v>291</v>
      </c>
      <c r="G9" s="209">
        <v>14</v>
      </c>
      <c r="H9" s="158">
        <v>5</v>
      </c>
      <c r="I9" s="27">
        <v>1</v>
      </c>
      <c r="J9" s="211">
        <v>7</v>
      </c>
      <c r="K9" s="27"/>
      <c r="L9" s="211">
        <v>6</v>
      </c>
      <c r="M9" s="27"/>
      <c r="N9" s="26"/>
      <c r="O9" s="27"/>
      <c r="P9" s="27">
        <v>1</v>
      </c>
      <c r="Q9" s="27"/>
      <c r="R9" s="27"/>
      <c r="S9" s="310">
        <v>1</v>
      </c>
      <c r="T9" s="265" t="s">
        <v>291</v>
      </c>
      <c r="U9" s="149">
        <v>8</v>
      </c>
      <c r="V9" s="6">
        <v>2</v>
      </c>
      <c r="W9" s="149"/>
      <c r="X9" s="211">
        <v>24</v>
      </c>
      <c r="Y9" s="212">
        <v>13</v>
      </c>
      <c r="Z9" s="361">
        <v>16</v>
      </c>
      <c r="AA9" s="6">
        <v>2</v>
      </c>
      <c r="AB9" s="142">
        <v>2</v>
      </c>
      <c r="AC9" s="158">
        <v>15</v>
      </c>
      <c r="AD9" s="203">
        <v>2</v>
      </c>
      <c r="AE9" s="27">
        <v>1</v>
      </c>
      <c r="AF9" s="26">
        <v>2</v>
      </c>
      <c r="AG9" s="142">
        <v>1</v>
      </c>
      <c r="AH9" s="141"/>
      <c r="AI9" s="6"/>
      <c r="AJ9" s="1"/>
    </row>
    <row r="10" spans="1:36" ht="30.6" customHeight="1" x14ac:dyDescent="0.5">
      <c r="A10" s="2" t="s">
        <v>19</v>
      </c>
      <c r="B10" s="3" t="s">
        <v>20</v>
      </c>
      <c r="C10" s="2">
        <v>1908</v>
      </c>
      <c r="D10" s="4" t="s">
        <v>15</v>
      </c>
      <c r="E10" s="85" t="s">
        <v>189</v>
      </c>
      <c r="F10" s="263" t="s">
        <v>292</v>
      </c>
      <c r="G10" s="28">
        <v>7</v>
      </c>
      <c r="H10" s="29"/>
      <c r="I10" s="29"/>
      <c r="J10" s="29"/>
      <c r="K10" s="29"/>
      <c r="L10" s="29"/>
      <c r="M10" s="29"/>
      <c r="N10" s="28"/>
      <c r="O10" s="29"/>
      <c r="P10" s="29"/>
      <c r="Q10" s="29"/>
      <c r="R10" s="29"/>
      <c r="S10" s="308"/>
      <c r="T10" s="263" t="s">
        <v>292</v>
      </c>
      <c r="U10" s="147">
        <v>9</v>
      </c>
      <c r="V10" s="2">
        <v>8</v>
      </c>
      <c r="W10" s="147"/>
      <c r="X10" s="29">
        <v>5</v>
      </c>
      <c r="Y10" s="30"/>
      <c r="Z10" s="186">
        <v>19</v>
      </c>
      <c r="AA10" s="2"/>
      <c r="AB10" s="30">
        <v>1</v>
      </c>
      <c r="AC10" s="29">
        <v>9</v>
      </c>
      <c r="AD10" s="201">
        <v>6</v>
      </c>
      <c r="AE10" s="29">
        <v>1</v>
      </c>
      <c r="AF10" s="28"/>
      <c r="AG10" s="30"/>
      <c r="AH10" s="61"/>
      <c r="AI10" s="2"/>
      <c r="AJ10" s="1"/>
    </row>
    <row r="11" spans="1:36" ht="33" customHeight="1" x14ac:dyDescent="0.5">
      <c r="A11" s="2" t="s">
        <v>21</v>
      </c>
      <c r="B11" s="3" t="s">
        <v>22</v>
      </c>
      <c r="C11" s="2">
        <v>1909</v>
      </c>
      <c r="D11" s="4" t="s">
        <v>7</v>
      </c>
      <c r="E11" s="85" t="s">
        <v>190</v>
      </c>
      <c r="F11" s="263"/>
      <c r="G11" s="28"/>
      <c r="H11" s="29">
        <v>3</v>
      </c>
      <c r="I11" s="29"/>
      <c r="J11" s="191">
        <v>6</v>
      </c>
      <c r="K11" s="29"/>
      <c r="L11" s="29">
        <v>1</v>
      </c>
      <c r="M11" s="29"/>
      <c r="N11" s="28">
        <v>1</v>
      </c>
      <c r="O11" s="29"/>
      <c r="P11" s="29"/>
      <c r="Q11" s="29"/>
      <c r="R11" s="29"/>
      <c r="S11" s="311">
        <v>2</v>
      </c>
      <c r="T11" s="263"/>
      <c r="U11" s="147">
        <v>4</v>
      </c>
      <c r="V11" s="2">
        <v>2</v>
      </c>
      <c r="W11" s="147"/>
      <c r="X11" s="210">
        <v>19</v>
      </c>
      <c r="Y11" s="30">
        <v>5</v>
      </c>
      <c r="Z11" s="28">
        <v>6</v>
      </c>
      <c r="AA11" s="2"/>
      <c r="AB11" s="30">
        <v>2</v>
      </c>
      <c r="AC11" s="29">
        <v>10</v>
      </c>
      <c r="AD11" s="201">
        <v>2</v>
      </c>
      <c r="AE11" s="29"/>
      <c r="AF11" s="28"/>
      <c r="AG11" s="30"/>
      <c r="AH11" s="61"/>
      <c r="AI11" s="2"/>
      <c r="AJ11" s="1"/>
    </row>
    <row r="12" spans="1:36" ht="39.6" customHeight="1" x14ac:dyDescent="0.5">
      <c r="A12" s="2" t="s">
        <v>23</v>
      </c>
      <c r="B12" s="3" t="s">
        <v>24</v>
      </c>
      <c r="C12" s="2">
        <v>1909</v>
      </c>
      <c r="D12" s="4" t="s">
        <v>15</v>
      </c>
      <c r="E12" s="85" t="s">
        <v>191</v>
      </c>
      <c r="F12" s="263" t="s">
        <v>287</v>
      </c>
      <c r="G12" s="28"/>
      <c r="H12" s="29"/>
      <c r="I12" s="29"/>
      <c r="J12" s="29">
        <v>1</v>
      </c>
      <c r="K12" s="29"/>
      <c r="L12" s="29"/>
      <c r="M12" s="29"/>
      <c r="N12" s="28"/>
      <c r="O12" s="29"/>
      <c r="P12" s="29"/>
      <c r="Q12" s="29"/>
      <c r="R12" s="29"/>
      <c r="S12" s="308"/>
      <c r="T12" s="263" t="s">
        <v>287</v>
      </c>
      <c r="U12" s="147">
        <v>2</v>
      </c>
      <c r="V12" s="2">
        <v>1</v>
      </c>
      <c r="W12" s="147"/>
      <c r="X12" s="29">
        <v>8</v>
      </c>
      <c r="Y12" s="30">
        <v>3</v>
      </c>
      <c r="Z12" s="28">
        <v>4</v>
      </c>
      <c r="AA12" s="2"/>
      <c r="AB12" s="30"/>
      <c r="AC12" s="29">
        <v>10</v>
      </c>
      <c r="AD12" s="201"/>
      <c r="AE12" s="29">
        <v>1</v>
      </c>
      <c r="AF12" s="28">
        <v>1</v>
      </c>
      <c r="AG12" s="30"/>
      <c r="AH12" s="61"/>
      <c r="AI12" s="2"/>
      <c r="AJ12" s="1"/>
    </row>
    <row r="13" spans="1:36" ht="36.6" customHeight="1" x14ac:dyDescent="0.5">
      <c r="A13" s="2" t="s">
        <v>25</v>
      </c>
      <c r="B13" s="3" t="s">
        <v>26</v>
      </c>
      <c r="C13" s="2">
        <v>1910</v>
      </c>
      <c r="D13" s="4" t="s">
        <v>7</v>
      </c>
      <c r="E13" s="85" t="s">
        <v>192</v>
      </c>
      <c r="F13" s="263" t="s">
        <v>296</v>
      </c>
      <c r="G13" s="28">
        <v>6</v>
      </c>
      <c r="H13" s="191">
        <v>15</v>
      </c>
      <c r="I13" s="191">
        <v>18</v>
      </c>
      <c r="J13" s="29">
        <v>3</v>
      </c>
      <c r="K13" s="191">
        <v>25</v>
      </c>
      <c r="L13" s="191">
        <v>6</v>
      </c>
      <c r="M13" s="29"/>
      <c r="N13" s="28"/>
      <c r="O13" s="191">
        <v>6</v>
      </c>
      <c r="P13" s="29"/>
      <c r="Q13" s="191">
        <v>4</v>
      </c>
      <c r="R13" s="191">
        <v>4</v>
      </c>
      <c r="S13" s="308"/>
      <c r="T13" s="263" t="s">
        <v>296</v>
      </c>
      <c r="U13" s="147">
        <v>15</v>
      </c>
      <c r="V13" s="180">
        <v>41</v>
      </c>
      <c r="W13" s="147"/>
      <c r="X13" s="210">
        <v>13</v>
      </c>
      <c r="Y13" s="193">
        <v>16</v>
      </c>
      <c r="Z13" s="185">
        <v>17</v>
      </c>
      <c r="AA13" s="2">
        <v>1</v>
      </c>
      <c r="AB13" s="30">
        <v>1</v>
      </c>
      <c r="AC13" s="191">
        <v>16</v>
      </c>
      <c r="AD13" s="201">
        <v>3</v>
      </c>
      <c r="AE13" s="29">
        <v>1</v>
      </c>
      <c r="AF13" s="28"/>
      <c r="AG13" s="30"/>
      <c r="AH13" s="165">
        <v>34</v>
      </c>
      <c r="AI13" s="180">
        <v>11</v>
      </c>
      <c r="AJ13" s="1"/>
    </row>
    <row r="14" spans="1:36" ht="33.6" customHeight="1" thickBot="1" x14ac:dyDescent="0.55000000000000004">
      <c r="A14" s="21" t="s">
        <v>27</v>
      </c>
      <c r="B14" s="19" t="s">
        <v>28</v>
      </c>
      <c r="C14" s="18">
        <v>1910</v>
      </c>
      <c r="D14" s="20" t="s">
        <v>29</v>
      </c>
      <c r="E14" s="85" t="s">
        <v>193</v>
      </c>
      <c r="F14" s="264" t="s">
        <v>299</v>
      </c>
      <c r="G14" s="41"/>
      <c r="H14" s="64">
        <v>1</v>
      </c>
      <c r="I14" s="64"/>
      <c r="J14" s="64">
        <v>2</v>
      </c>
      <c r="K14" s="64"/>
      <c r="L14" s="64"/>
      <c r="M14" s="64"/>
      <c r="N14" s="41"/>
      <c r="O14" s="64"/>
      <c r="P14" s="64"/>
      <c r="Q14" s="64"/>
      <c r="R14" s="64"/>
      <c r="S14" s="312"/>
      <c r="T14" s="264" t="s">
        <v>299</v>
      </c>
      <c r="U14" s="150">
        <v>6</v>
      </c>
      <c r="V14" s="18"/>
      <c r="W14" s="150"/>
      <c r="X14" s="64">
        <v>2</v>
      </c>
      <c r="Y14" s="52">
        <v>3</v>
      </c>
      <c r="Z14" s="41">
        <v>1</v>
      </c>
      <c r="AA14" s="18"/>
      <c r="AB14" s="52"/>
      <c r="AC14" s="64">
        <v>11</v>
      </c>
      <c r="AD14" s="204">
        <v>1</v>
      </c>
      <c r="AE14" s="64">
        <v>1</v>
      </c>
      <c r="AF14" s="41"/>
      <c r="AG14" s="52"/>
      <c r="AH14" s="199"/>
      <c r="AI14" s="18"/>
    </row>
    <row r="15" spans="1:36" ht="31.8" customHeight="1" thickTop="1" x14ac:dyDescent="0.5">
      <c r="A15" s="9" t="s">
        <v>30</v>
      </c>
      <c r="B15" s="10" t="s">
        <v>31</v>
      </c>
      <c r="C15" s="10">
        <v>1911</v>
      </c>
      <c r="D15" s="22" t="s">
        <v>7</v>
      </c>
      <c r="E15" s="85" t="s">
        <v>194</v>
      </c>
      <c r="F15" s="265" t="s">
        <v>287</v>
      </c>
      <c r="G15" s="32">
        <v>6</v>
      </c>
      <c r="H15" s="63">
        <v>2</v>
      </c>
      <c r="I15" s="63">
        <v>1</v>
      </c>
      <c r="J15" s="63">
        <v>1</v>
      </c>
      <c r="K15" s="63"/>
      <c r="L15" s="63"/>
      <c r="M15" s="63"/>
      <c r="N15" s="32">
        <v>1</v>
      </c>
      <c r="O15" s="63">
        <v>1</v>
      </c>
      <c r="P15" s="63">
        <v>1</v>
      </c>
      <c r="Q15" s="63"/>
      <c r="R15" s="63"/>
      <c r="S15" s="307"/>
      <c r="T15" s="265" t="s">
        <v>287</v>
      </c>
      <c r="U15" s="146">
        <v>4</v>
      </c>
      <c r="V15" s="11">
        <v>5</v>
      </c>
      <c r="W15" s="146"/>
      <c r="X15" s="63">
        <v>2</v>
      </c>
      <c r="Y15" s="50">
        <v>5</v>
      </c>
      <c r="Z15" s="32">
        <v>5</v>
      </c>
      <c r="AA15" s="11"/>
      <c r="AB15" s="50"/>
      <c r="AC15" s="63">
        <v>5</v>
      </c>
      <c r="AD15" s="200">
        <v>6</v>
      </c>
      <c r="AE15" s="63">
        <v>1</v>
      </c>
      <c r="AF15" s="32"/>
      <c r="AG15" s="50">
        <v>2</v>
      </c>
      <c r="AH15" s="196"/>
      <c r="AI15" s="11"/>
    </row>
    <row r="16" spans="1:36" ht="38.4" customHeight="1" x14ac:dyDescent="0.5">
      <c r="A16" s="13" t="s">
        <v>32</v>
      </c>
      <c r="B16" s="3" t="s">
        <v>33</v>
      </c>
      <c r="C16" s="2">
        <v>1912</v>
      </c>
      <c r="D16" s="4" t="s">
        <v>7</v>
      </c>
      <c r="E16" s="85" t="s">
        <v>195</v>
      </c>
      <c r="F16" s="263" t="s">
        <v>288</v>
      </c>
      <c r="G16" s="28"/>
      <c r="H16" s="29">
        <v>1</v>
      </c>
      <c r="I16" s="29"/>
      <c r="J16" s="29"/>
      <c r="K16" s="29"/>
      <c r="L16" s="29">
        <v>1</v>
      </c>
      <c r="M16" s="29"/>
      <c r="N16" s="28"/>
      <c r="O16" s="29"/>
      <c r="P16" s="29"/>
      <c r="Q16" s="29"/>
      <c r="R16" s="29"/>
      <c r="S16" s="308"/>
      <c r="T16" s="263" t="s">
        <v>288</v>
      </c>
      <c r="U16" s="147">
        <v>4</v>
      </c>
      <c r="V16" s="2">
        <v>2</v>
      </c>
      <c r="W16" s="147"/>
      <c r="X16" s="29">
        <v>3</v>
      </c>
      <c r="Y16" s="30">
        <v>4</v>
      </c>
      <c r="Z16" s="28"/>
      <c r="AA16" s="2"/>
      <c r="AB16" s="30">
        <v>2</v>
      </c>
      <c r="AC16" s="29"/>
      <c r="AD16" s="201"/>
      <c r="AE16" s="29"/>
      <c r="AF16" s="28"/>
      <c r="AG16" s="30"/>
      <c r="AH16" s="197"/>
      <c r="AI16" s="2"/>
    </row>
    <row r="17" spans="1:71" ht="36" customHeight="1" x14ac:dyDescent="0.5">
      <c r="A17" s="13" t="s">
        <v>34</v>
      </c>
      <c r="B17" s="3" t="s">
        <v>35</v>
      </c>
      <c r="C17" s="2">
        <v>1913</v>
      </c>
      <c r="D17" s="4" t="s">
        <v>7</v>
      </c>
      <c r="E17" s="85" t="s">
        <v>196</v>
      </c>
      <c r="F17" s="263" t="s">
        <v>299</v>
      </c>
      <c r="G17" s="185">
        <v>10</v>
      </c>
      <c r="H17" s="29">
        <v>1</v>
      </c>
      <c r="I17" s="210">
        <v>4</v>
      </c>
      <c r="J17" s="29">
        <v>2</v>
      </c>
      <c r="K17" s="29"/>
      <c r="L17" s="29"/>
      <c r="M17" s="29"/>
      <c r="N17" s="28"/>
      <c r="O17" s="29"/>
      <c r="P17" s="29"/>
      <c r="Q17" s="29"/>
      <c r="R17" s="29"/>
      <c r="S17" s="308"/>
      <c r="T17" s="263" t="s">
        <v>299</v>
      </c>
      <c r="U17" s="147">
        <v>7</v>
      </c>
      <c r="V17" s="178">
        <v>13</v>
      </c>
      <c r="W17" s="147"/>
      <c r="X17" s="29">
        <v>4</v>
      </c>
      <c r="Y17" s="30">
        <v>6</v>
      </c>
      <c r="Z17" s="28">
        <v>11</v>
      </c>
      <c r="AA17" s="2"/>
      <c r="AB17" s="30">
        <v>1</v>
      </c>
      <c r="AC17" s="29">
        <v>10</v>
      </c>
      <c r="AD17" s="201">
        <v>4</v>
      </c>
      <c r="AE17" s="210">
        <v>8</v>
      </c>
      <c r="AF17" s="28"/>
      <c r="AG17" s="30"/>
      <c r="AH17" s="197"/>
      <c r="AI17" s="2"/>
    </row>
    <row r="18" spans="1:71" ht="37.200000000000003" customHeight="1" thickBot="1" x14ac:dyDescent="0.55000000000000004">
      <c r="A18" s="14" t="s">
        <v>36</v>
      </c>
      <c r="B18" s="15" t="s">
        <v>37</v>
      </c>
      <c r="C18" s="16">
        <v>1914</v>
      </c>
      <c r="D18" s="17" t="s">
        <v>15</v>
      </c>
      <c r="E18" s="154" t="s">
        <v>197</v>
      </c>
      <c r="F18" s="271" t="s">
        <v>292</v>
      </c>
      <c r="G18" s="37">
        <v>3</v>
      </c>
      <c r="H18" s="45"/>
      <c r="I18" s="45"/>
      <c r="J18" s="45"/>
      <c r="K18" s="45"/>
      <c r="L18" s="45"/>
      <c r="M18" s="45"/>
      <c r="N18" s="37"/>
      <c r="O18" s="45"/>
      <c r="P18" s="45"/>
      <c r="Q18" s="45"/>
      <c r="R18" s="45"/>
      <c r="S18" s="309"/>
      <c r="T18" s="271" t="s">
        <v>292</v>
      </c>
      <c r="U18" s="148">
        <v>13</v>
      </c>
      <c r="V18" s="16">
        <v>7</v>
      </c>
      <c r="W18" s="148"/>
      <c r="X18" s="45">
        <v>2</v>
      </c>
      <c r="Y18" s="46"/>
      <c r="Z18" s="37">
        <v>12</v>
      </c>
      <c r="AA18" s="16"/>
      <c r="AB18" s="46"/>
      <c r="AC18" s="190">
        <v>14</v>
      </c>
      <c r="AD18" s="202"/>
      <c r="AE18" s="45">
        <v>2</v>
      </c>
      <c r="AF18" s="37"/>
      <c r="AG18" s="46"/>
      <c r="AH18" s="198"/>
      <c r="AI18" s="16">
        <v>1</v>
      </c>
    </row>
    <row r="19" spans="1:71" s="43" customFormat="1" ht="39.6" customHeight="1" thickTop="1" thickBot="1" x14ac:dyDescent="0.35">
      <c r="A19" s="518" t="s">
        <v>421</v>
      </c>
      <c r="B19" s="518"/>
      <c r="C19" s="518"/>
      <c r="D19" s="519"/>
      <c r="E19" s="416" t="s">
        <v>293</v>
      </c>
      <c r="F19" s="153" t="s">
        <v>141</v>
      </c>
      <c r="G19" s="382">
        <f t="shared" ref="G19" si="0">SUM(G4:G18)</f>
        <v>66</v>
      </c>
      <c r="H19" s="382">
        <f t="shared" ref="H19:AG19" si="1">SUM(H4:H18)</f>
        <v>44</v>
      </c>
      <c r="I19" s="382">
        <f t="shared" si="1"/>
        <v>28</v>
      </c>
      <c r="J19" s="382">
        <f t="shared" si="1"/>
        <v>28</v>
      </c>
      <c r="K19" s="382">
        <f t="shared" si="1"/>
        <v>25</v>
      </c>
      <c r="L19" s="382">
        <f t="shared" si="1"/>
        <v>15</v>
      </c>
      <c r="M19" s="305">
        <f t="shared" si="1"/>
        <v>10</v>
      </c>
      <c r="N19" s="306">
        <f t="shared" si="1"/>
        <v>3</v>
      </c>
      <c r="O19" s="382">
        <f t="shared" si="1"/>
        <v>7</v>
      </c>
      <c r="P19" s="382">
        <f t="shared" si="1"/>
        <v>7</v>
      </c>
      <c r="Q19" s="382">
        <f t="shared" si="1"/>
        <v>4</v>
      </c>
      <c r="R19" s="382">
        <f t="shared" si="1"/>
        <v>4</v>
      </c>
      <c r="S19" s="396">
        <f t="shared" si="1"/>
        <v>3</v>
      </c>
      <c r="T19" s="153" t="s">
        <v>141</v>
      </c>
      <c r="U19" s="194">
        <f t="shared" ref="U19" si="2">SUM(U4:U18)</f>
        <v>148</v>
      </c>
      <c r="V19" s="360">
        <f t="shared" ref="V19" si="3">SUM(V4:V18)</f>
        <v>126</v>
      </c>
      <c r="W19" s="194">
        <f t="shared" si="1"/>
        <v>1</v>
      </c>
      <c r="X19" s="195">
        <f t="shared" si="1"/>
        <v>107</v>
      </c>
      <c r="Y19" s="206">
        <f t="shared" si="1"/>
        <v>78</v>
      </c>
      <c r="Z19" s="194">
        <f t="shared" ref="Z19" si="4">SUM(Z4:Z18)</f>
        <v>123</v>
      </c>
      <c r="AA19" s="360">
        <f t="shared" si="1"/>
        <v>14</v>
      </c>
      <c r="AB19" s="206">
        <f t="shared" si="1"/>
        <v>9</v>
      </c>
      <c r="AC19" s="396">
        <f t="shared" si="1"/>
        <v>138</v>
      </c>
      <c r="AD19" s="396">
        <f t="shared" si="1"/>
        <v>64</v>
      </c>
      <c r="AE19" s="195">
        <f t="shared" ref="AE19" si="5">SUM(AE4:AE18)</f>
        <v>39</v>
      </c>
      <c r="AF19" s="362">
        <f t="shared" si="1"/>
        <v>3</v>
      </c>
      <c r="AG19" s="206">
        <f t="shared" si="1"/>
        <v>19</v>
      </c>
      <c r="AH19" s="205">
        <f t="shared" ref="AH19:AI19" si="6">SUM(AH4:AH18)</f>
        <v>34</v>
      </c>
      <c r="AI19" s="194">
        <f t="shared" si="6"/>
        <v>13</v>
      </c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</row>
    <row r="20" spans="1:71" ht="43.2" customHeight="1" thickTop="1" thickBot="1" x14ac:dyDescent="0.35">
      <c r="A20" s="380" t="s">
        <v>422</v>
      </c>
      <c r="B20" s="380"/>
      <c r="C20" s="380"/>
      <c r="D20" s="381"/>
      <c r="E20" s="417"/>
      <c r="F20" s="125" t="s">
        <v>140</v>
      </c>
      <c r="G20" s="383"/>
      <c r="H20" s="383"/>
      <c r="I20" s="383"/>
      <c r="J20" s="383"/>
      <c r="K20" s="383"/>
      <c r="L20" s="383"/>
      <c r="M20" s="386">
        <v>13</v>
      </c>
      <c r="N20" s="387"/>
      <c r="O20" s="383"/>
      <c r="P20" s="383"/>
      <c r="Q20" s="383"/>
      <c r="R20" s="383"/>
      <c r="S20" s="397"/>
      <c r="T20" s="125" t="s">
        <v>140</v>
      </c>
      <c r="U20" s="393">
        <v>275</v>
      </c>
      <c r="V20" s="387"/>
      <c r="W20" s="394"/>
      <c r="X20" s="386">
        <v>185</v>
      </c>
      <c r="Y20" s="394"/>
      <c r="Z20" s="386">
        <v>146</v>
      </c>
      <c r="AA20" s="387"/>
      <c r="AB20" s="394"/>
      <c r="AC20" s="397"/>
      <c r="AD20" s="397"/>
      <c r="AE20" s="386">
        <v>61</v>
      </c>
      <c r="AF20" s="387"/>
      <c r="AG20" s="394"/>
      <c r="AH20" s="386">
        <v>47</v>
      </c>
      <c r="AI20" s="387"/>
    </row>
    <row r="21" spans="1:71" ht="14.4" customHeight="1" thickTop="1" x14ac:dyDescent="0.3">
      <c r="F21" s="266"/>
      <c r="T21" s="266"/>
    </row>
    <row r="22" spans="1:71" ht="14.4" customHeight="1" x14ac:dyDescent="0.3"/>
    <row r="23" spans="1:71" ht="14.4" customHeight="1" x14ac:dyDescent="0.3"/>
  </sheetData>
  <mergeCells count="49">
    <mergeCell ref="Z2:AB2"/>
    <mergeCell ref="Z20:AB20"/>
    <mergeCell ref="AE2:AG2"/>
    <mergeCell ref="AE20:AG20"/>
    <mergeCell ref="E2:E3"/>
    <mergeCell ref="S19:S20"/>
    <mergeCell ref="P19:P20"/>
    <mergeCell ref="R2:R3"/>
    <mergeCell ref="S2:S3"/>
    <mergeCell ref="J2:J3"/>
    <mergeCell ref="K2:K3"/>
    <mergeCell ref="L2:L3"/>
    <mergeCell ref="P2:P3"/>
    <mergeCell ref="A1:E1"/>
    <mergeCell ref="A2:A3"/>
    <mergeCell ref="B2:B3"/>
    <mergeCell ref="C2:C3"/>
    <mergeCell ref="D2:D3"/>
    <mergeCell ref="AH2:AI2"/>
    <mergeCell ref="Q19:Q20"/>
    <mergeCell ref="R19:R20"/>
    <mergeCell ref="Q2:Q3"/>
    <mergeCell ref="U1:AI1"/>
    <mergeCell ref="AH20:AI20"/>
    <mergeCell ref="U2:W2"/>
    <mergeCell ref="U20:W20"/>
    <mergeCell ref="X20:Y20"/>
    <mergeCell ref="X2:Y2"/>
    <mergeCell ref="AC19:AC20"/>
    <mergeCell ref="AD19:AD20"/>
    <mergeCell ref="T1:T3"/>
    <mergeCell ref="G1:S1"/>
    <mergeCell ref="G2:G3"/>
    <mergeCell ref="H2:H3"/>
    <mergeCell ref="L19:L20"/>
    <mergeCell ref="M2:N2"/>
    <mergeCell ref="M20:N20"/>
    <mergeCell ref="O19:O20"/>
    <mergeCell ref="G19:G20"/>
    <mergeCell ref="H19:H20"/>
    <mergeCell ref="I19:I20"/>
    <mergeCell ref="J19:J20"/>
    <mergeCell ref="K19:K20"/>
    <mergeCell ref="O2:O3"/>
    <mergeCell ref="I2:I3"/>
    <mergeCell ref="F1:F3"/>
    <mergeCell ref="E19:E20"/>
    <mergeCell ref="A19:D19"/>
    <mergeCell ref="A20:D20"/>
  </mergeCells>
  <conditionalFormatting sqref="A4:A11 A13 A15:A18">
    <cfRule type="colorScale" priority="2">
      <colorScale>
        <cfvo type="min"/>
        <cfvo type="max"/>
        <color rgb="FF63BE7B"/>
        <color rgb="FFFCFCFF"/>
      </colorScale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{FCC0CC07-0E61-40F2-B28B-87045D3E5BF3}</x14:id>
        </ext>
      </extLst>
    </cfRule>
  </conditionalFormatting>
  <hyperlinks>
    <hyperlink ref="D18" r:id="rId1" display="https://archive.org/details/throughspainreco00dickrich/page/n13/mode/2up" xr:uid="{E87D3DC5-5F39-4F01-A253-35189236AB03}"/>
    <hyperlink ref="D17" r:id="rId2" display="https://www.gutenberg.org/ebooks/7430" xr:uid="{502C088B-C083-4145-9051-100581C7AA67}"/>
    <hyperlink ref="D16" r:id="rId3" display="https://www.gutenberg.org/ebooks/40201" xr:uid="{A31FC65A-1876-4FE7-866C-9894E2060481}"/>
    <hyperlink ref="D10" r:id="rId4" display="https://archive.org/details/sunshadowinspain00elliuoft" xr:uid="{4FDDFF1E-546D-400B-8B57-EAF6750D44D7}"/>
    <hyperlink ref="D8" r:id="rId5" display="https://www.gutenberg.org/ebooks/27252" xr:uid="{4FE6FECE-DBAB-48F2-A85A-C8F97F2CFC7B}"/>
    <hyperlink ref="D7" r:id="rId6" display="https://archive.org/details/atrampinspain00unkngoog/page/n8/mode/2up" xr:uid="{AF296327-9F1A-46DA-8D59-33270FB5DD63}"/>
    <hyperlink ref="D6" r:id="rId7" display="https://www.gutenberg.org/ebooks/59944" xr:uid="{4698E4C1-3854-48B0-88C3-67BF856FB4AA}"/>
    <hyperlink ref="D4" r:id="rId8" display="https://www.gutenberg.org/ebooks/38767" xr:uid="{CB148316-402D-45E9-8713-BBD1F05D9939}"/>
    <hyperlink ref="D9" r:id="rId9" display="https://www.gutenberg.org/ebooks/37944" xr:uid="{7D6BC7BC-D0FF-4E88-AE89-0D9FF84B8D5E}"/>
    <hyperlink ref="D13" r:id="rId10" display="https://www.gutenberg.org/ebooks/41593" xr:uid="{A49AC112-FB54-44BD-8485-39F15D606713}"/>
    <hyperlink ref="D11" r:id="rId11" display="https://www.gutenberg.org/ebooks/40356" xr:uid="{57F88530-7CF8-4EFB-A1C3-2F49B40699BB}"/>
    <hyperlink ref="D5" r:id="rId12" display="https://archive.org/details/landofdons00will/page/n19/mode/2up" xr:uid="{8BA3D23E-386D-4914-9F12-B3D64C5EA7C7}"/>
    <hyperlink ref="D15" r:id="rId13" display="https://www.gutenberg.org/ebooks/40357" xr:uid="{11BEE9B2-6654-42A9-A6FE-F8D1DC87744A}"/>
    <hyperlink ref="D12" r:id="rId14" display="https://archive.org/details/spainoftodaynarr00shaw/page/n11/mode/2up" xr:uid="{1B17DF92-F887-4BE7-8D4A-A83B0D228C50}"/>
    <hyperlink ref="D14" r:id="rId15" display="https://www.gutenberg.org/ebooks/author/39917" xr:uid="{76689D05-A1D1-4898-A1A6-5B489E20A171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C0CC07-0E61-40F2-B28B-87045D3E5B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A4:A11 A13 A15:A18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Monumentos</vt:lpstr>
      <vt:lpstr>espacios públicos</vt:lpstr>
      <vt:lpstr>consumo y camino</vt:lpstr>
      <vt:lpstr>Espacios naturales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2015-06-05T18:19:34Z</dcterms:created>
  <dcterms:modified xsi:type="dcterms:W3CDTF">2026-05-15T16:37:08Z</dcterms:modified>
</cp:coreProperties>
</file>