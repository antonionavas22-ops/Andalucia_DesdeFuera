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DBBD5821-453F-4885-8048-7E91D1054E15}" xr6:coauthVersionLast="47" xr6:coauthVersionMax="47" xr10:uidLastSave="{00000000-0000-0000-0000-000000000000}"/>
  <bookViews>
    <workbookView xWindow="-108" yWindow="-108" windowWidth="23256" windowHeight="12456" tabRatio="53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19" i="1" l="1"/>
  <c r="BF19" i="1"/>
  <c r="AY19" i="1"/>
  <c r="AV19" i="1"/>
  <c r="AL19" i="1"/>
  <c r="AJ19" i="1"/>
  <c r="AI19" i="1"/>
  <c r="S19" i="1"/>
  <c r="T19" i="1"/>
  <c r="P19" i="1"/>
  <c r="Q19" i="1"/>
  <c r="M19" i="1"/>
  <c r="N19" i="1"/>
  <c r="J19" i="1"/>
  <c r="K19" i="1"/>
  <c r="G19" i="1"/>
  <c r="H19" i="1"/>
  <c r="AW19" i="1"/>
  <c r="BL19" i="1"/>
  <c r="AF19" i="1"/>
  <c r="AT19" i="1"/>
  <c r="BT19" i="1"/>
  <c r="BS19" i="1"/>
  <c r="BR19" i="1"/>
  <c r="BQ19" i="1"/>
  <c r="BP19" i="1"/>
  <c r="BO19" i="1"/>
  <c r="BN19" i="1"/>
  <c r="BM19" i="1"/>
  <c r="BK19" i="1"/>
  <c r="BJ19" i="1"/>
  <c r="BI19" i="1"/>
  <c r="BG19" i="1"/>
  <c r="BE19" i="1"/>
  <c r="BD19" i="1"/>
  <c r="BC19" i="1"/>
  <c r="BB19" i="1"/>
  <c r="BA19" i="1"/>
  <c r="AZ19" i="1"/>
  <c r="AX19" i="1"/>
  <c r="AU19" i="1"/>
  <c r="AS19" i="1"/>
  <c r="AR19" i="1"/>
  <c r="AQ19" i="1"/>
  <c r="AP19" i="1"/>
  <c r="AO19" i="1"/>
  <c r="AN19" i="1"/>
  <c r="AM19" i="1"/>
  <c r="AK19" i="1"/>
  <c r="AH19" i="1"/>
  <c r="AG19" i="1"/>
  <c r="AE19" i="1"/>
  <c r="AD19" i="1"/>
  <c r="AC19" i="1"/>
  <c r="AB19" i="1"/>
  <c r="AA19" i="1"/>
  <c r="Z19" i="1"/>
  <c r="Y19" i="1"/>
  <c r="X19" i="1"/>
  <c r="V19" i="1"/>
  <c r="U19" i="1"/>
  <c r="R19" i="1"/>
  <c r="O19" i="1"/>
  <c r="L19" i="1"/>
</calcChain>
</file>

<file path=xl/sharedStrings.xml><?xml version="1.0" encoding="utf-8"?>
<sst xmlns="http://schemas.openxmlformats.org/spreadsheetml/2006/main" count="191" uniqueCount="159">
  <si>
    <t>Gutenberg</t>
  </si>
  <si>
    <t>Internet archive</t>
  </si>
  <si>
    <t>Southern Spain</t>
  </si>
  <si>
    <t>Sun and Shadow in Spain</t>
  </si>
  <si>
    <t>Spain of to-day: a narrative guide to the country of the dons with suggestions for travellers</t>
  </si>
  <si>
    <t>Unexplored Spain</t>
  </si>
  <si>
    <t>Four months afoot in Spain</t>
  </si>
  <si>
    <t>Things seen in Spain</t>
  </si>
  <si>
    <t>Family spanish travel</t>
  </si>
  <si>
    <t>Thorugh Spain</t>
  </si>
  <si>
    <t>TÍTULO</t>
  </si>
  <si>
    <t>AÑO</t>
  </si>
  <si>
    <t xml:space="preserve">Spanish Highway and Bayways </t>
  </si>
  <si>
    <t>Impressions of Spain</t>
  </si>
  <si>
    <t>RELATOS DE VIAJES ANGLOSAJONES (1900-1914)</t>
  </si>
  <si>
    <t>Albert Frederick Calvert (1872-1946, UK)</t>
  </si>
  <si>
    <t>REPOSITORIO</t>
  </si>
  <si>
    <t>AUTOR (fecha y nacionalidad angosajona)</t>
  </si>
  <si>
    <t xml:space="preserve">The land of the blessed virgin: sketches and impressions in Andalusia </t>
  </si>
  <si>
    <t>A tramp in Spain: from Andalusia to Andorra</t>
  </si>
  <si>
    <t>Duncan Dickinson ¿fecha de nacimiento y muerte? (UK)</t>
  </si>
  <si>
    <t xml:space="preserve">Bart Kennedy (1861-1930, UK) </t>
  </si>
  <si>
    <t>Maugham William Somerset (1874-1965, FRA/UK)</t>
  </si>
  <si>
    <t>Williams Leonard (1871-1934, UK)</t>
  </si>
  <si>
    <t xml:space="preserve">Abel Chapman (1851-1929, UK) y John Walter Buck (1843-1917 USA/UK) </t>
  </si>
  <si>
    <t xml:space="preserve">Catherine Gasquoine Hartley (1874-1921, Madagascar/UK) </t>
  </si>
  <si>
    <t>Cathedral cities of Spain</t>
  </si>
  <si>
    <t>The land of the Dons</t>
  </si>
  <si>
    <t xml:space="preserve"> Internet archive</t>
  </si>
  <si>
    <t>Collins, William Wiehe (1837, 1920, UK)</t>
  </si>
  <si>
    <t xml:space="preserve"> Gutenberg </t>
  </si>
  <si>
    <t>Heroic  Spain</t>
  </si>
  <si>
    <t xml:space="preserve">Bobadilla </t>
  </si>
  <si>
    <t>Antequera</t>
  </si>
  <si>
    <t>Morón</t>
  </si>
  <si>
    <t>Jerez</t>
  </si>
  <si>
    <t>Sevilla</t>
  </si>
  <si>
    <t>seville</t>
  </si>
  <si>
    <t>Andalucia</t>
  </si>
  <si>
    <t>Andalusia</t>
  </si>
  <si>
    <t>Córdoba</t>
  </si>
  <si>
    <t>Cordova</t>
  </si>
  <si>
    <t>Cordoba</t>
  </si>
  <si>
    <t>Cádiz</t>
  </si>
  <si>
    <t>Cadiz</t>
  </si>
  <si>
    <t>Jaen</t>
  </si>
  <si>
    <t>Jaén</t>
  </si>
  <si>
    <t>Comunidad</t>
  </si>
  <si>
    <t>Moron</t>
  </si>
  <si>
    <t>Sherry</t>
  </si>
  <si>
    <t>Municpios no capitales de provincia  de Jaén (17)</t>
  </si>
  <si>
    <t>Municpios no capitales de provincia de Almería (10)</t>
  </si>
  <si>
    <t>Municpios no capitales de provincia a de Granada (17)</t>
  </si>
  <si>
    <t>Municpios no capitales de provincia  de Córdoba (4)</t>
  </si>
  <si>
    <t>Municipios no capitales de provincia de Huelva (32)</t>
  </si>
  <si>
    <t>TOTALES CON VARIANTES UNIDAS</t>
  </si>
  <si>
    <t>Huercal</t>
  </si>
  <si>
    <t>Overa</t>
  </si>
  <si>
    <t>Municipios no capitales de provincia de Sevilla (58)</t>
  </si>
  <si>
    <t>Municipios no capitales de provincia de málaga  (191)</t>
  </si>
  <si>
    <t>Municipios no capitales de provincia de Cádiz (144)</t>
  </si>
  <si>
    <t>C</t>
  </si>
  <si>
    <t>A</t>
  </si>
  <si>
    <t>P</t>
  </si>
  <si>
    <t>I</t>
  </si>
  <si>
    <t>T</t>
  </si>
  <si>
    <t>L</t>
  </si>
  <si>
    <t>E</t>
  </si>
  <si>
    <t>S</t>
  </si>
  <si>
    <t>(ocho)</t>
  </si>
  <si>
    <t>NO</t>
  </si>
  <si>
    <t>CAPITALES DE PROVINCIA (8 MUNICIPIOS)</t>
  </si>
  <si>
    <t>MUNICIPIOS DE PROVINCIA NO CAPITALES (45)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</si>
  <si>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</si>
  <si>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>Joseph Thompson Shaw (1874-1952,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</si>
  <si>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Maude Howe Elliot (1854-1948,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</si>
  <si>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Elizabeth Boyle O`Reilly (1874-1922,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</si>
  <si>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Harry Alverson Franck (1881-1962,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</si>
  <si>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</si>
  <si>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TOTALES CON VARIANTES (SIN NEGRITA)</t>
  </si>
  <si>
    <t>Todos los totales tienen fondo.</t>
  </si>
  <si>
    <t>Relación metadatos con sus  menciones (223 para 2344)</t>
  </si>
  <si>
    <r>
      <t xml:space="preserve">12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194 </t>
    </r>
    <r>
      <rPr>
        <sz val="12"/>
        <rFont val="Calibri"/>
        <family val="2"/>
        <scheme val="minor"/>
      </rPr>
      <t>menciones</t>
    </r>
  </si>
  <si>
    <r>
      <t xml:space="preserve">19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89 </t>
    </r>
    <r>
      <rPr>
        <sz val="12"/>
        <rFont val="Calibri"/>
        <family val="2"/>
        <scheme val="minor"/>
      </rPr>
      <t>menciones</t>
    </r>
  </si>
  <si>
    <r>
      <t xml:space="preserve">20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158 </t>
    </r>
    <r>
      <rPr>
        <sz val="12"/>
        <rFont val="Calibri"/>
        <family val="2"/>
        <scheme val="minor"/>
      </rPr>
      <t>menciones</t>
    </r>
  </si>
  <si>
    <r>
      <t>10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137 </t>
    </r>
    <r>
      <rPr>
        <sz val="12"/>
        <rFont val="Calibri"/>
        <family val="2"/>
        <scheme val="minor"/>
      </rPr>
      <t>menciones</t>
    </r>
  </si>
  <si>
    <r>
      <t xml:space="preserve">15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238 </t>
    </r>
    <r>
      <rPr>
        <sz val="12"/>
        <rFont val="Calibri"/>
        <family val="2"/>
        <scheme val="minor"/>
      </rPr>
      <t>menciones</t>
    </r>
  </si>
  <si>
    <r>
      <t xml:space="preserve">33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344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</si>
  <si>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206 </t>
    </r>
    <r>
      <rPr>
        <sz val="12"/>
        <rFont val="Calibri"/>
        <family val="2"/>
        <scheme val="minor"/>
      </rPr>
      <t>menciones</t>
    </r>
  </si>
  <si>
    <r>
      <t xml:space="preserve">12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97 </t>
    </r>
    <r>
      <rPr>
        <sz val="12"/>
        <rFont val="Calibri"/>
        <family val="2"/>
        <scheme val="minor"/>
      </rPr>
      <t>menciones</t>
    </r>
  </si>
  <si>
    <r>
      <t xml:space="preserve">7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66 </t>
    </r>
    <r>
      <rPr>
        <sz val="12"/>
        <rFont val="Calibri"/>
        <family val="2"/>
        <scheme val="minor"/>
      </rPr>
      <t>menciones</t>
    </r>
  </si>
  <si>
    <r>
      <t xml:space="preserve">22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91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</si>
  <si>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110 </t>
    </r>
    <r>
      <rPr>
        <sz val="12"/>
        <rFont val="Calibri"/>
        <family val="2"/>
        <scheme val="minor"/>
      </rPr>
      <t>menciones</t>
    </r>
  </si>
  <si>
    <r>
      <t xml:space="preserve">15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93 </t>
    </r>
    <r>
      <rPr>
        <sz val="12"/>
        <rFont val="Calibri"/>
        <family val="2"/>
        <scheme val="minor"/>
      </rPr>
      <t>menciones</t>
    </r>
  </si>
  <si>
    <r>
      <t xml:space="preserve">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64 </t>
    </r>
    <r>
      <rPr>
        <sz val="12"/>
        <rFont val="Calibri"/>
        <family val="2"/>
        <scheme val="minor"/>
      </rPr>
      <t>menciones</t>
    </r>
  </si>
  <si>
    <r>
      <t xml:space="preserve">12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265 </t>
    </r>
    <r>
      <rPr>
        <sz val="12"/>
        <rFont val="Calibri"/>
        <family val="2"/>
        <scheme val="minor"/>
      </rPr>
      <t>menciones</t>
    </r>
  </si>
  <si>
    <r>
      <t xml:space="preserve">14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192 </t>
    </r>
    <r>
      <rPr>
        <sz val="12"/>
        <rFont val="Calibri"/>
        <family val="2"/>
        <scheme val="minor"/>
      </rPr>
      <t>menciones</t>
    </r>
  </si>
  <si>
    <t>Con fondo oscuro las tres menciones más altas por metadato entre los 15 relatos. Más negrita, la mención más alta</t>
  </si>
  <si>
    <t>N</t>
  </si>
  <si>
    <t>O</t>
  </si>
  <si>
    <t>M</t>
  </si>
  <si>
    <t>U</t>
  </si>
  <si>
    <t>D</t>
  </si>
  <si>
    <t>ANDALUCIA</t>
  </si>
  <si>
    <t>SEVILLA</t>
  </si>
  <si>
    <t>GRANADA</t>
  </si>
  <si>
    <t>CÓRDOBA</t>
  </si>
  <si>
    <t>CÁDIZ</t>
  </si>
  <si>
    <t>MALAGA</t>
  </si>
  <si>
    <t>JAÉN</t>
  </si>
  <si>
    <t>HUELVA</t>
  </si>
  <si>
    <t>ALMERIA</t>
  </si>
  <si>
    <t>RONDA</t>
  </si>
  <si>
    <t>ANTEQUERA-BOBADILLA</t>
  </si>
  <si>
    <t>MARBELLA</t>
  </si>
  <si>
    <t>ARRIATE</t>
  </si>
  <si>
    <t>MIJAS</t>
  </si>
  <si>
    <t>TOLOX</t>
  </si>
  <si>
    <t>ALGECIRAS</t>
  </si>
  <si>
    <t>JEREZ</t>
  </si>
  <si>
    <t>TARIFA</t>
  </si>
  <si>
    <t>SAN LUCAR</t>
  </si>
  <si>
    <t>ROTA</t>
  </si>
  <si>
    <t>PUERTO SANTA MARÍA</t>
  </si>
  <si>
    <t>SAN FERNANDO</t>
  </si>
  <si>
    <t>BARBATE</t>
  </si>
  <si>
    <t>ECIJA</t>
  </si>
  <si>
    <t>MARCHENA</t>
  </si>
  <si>
    <t>CARMONA</t>
  </si>
  <si>
    <t>UTRERA</t>
  </si>
  <si>
    <t>MAIRENA</t>
  </si>
  <si>
    <t>LEBRIJA</t>
  </si>
  <si>
    <t>MORON</t>
  </si>
  <si>
    <t>ALCALA GUADAIRA</t>
  </si>
  <si>
    <t>SANTIPONCE</t>
  </si>
  <si>
    <t>OSUNA</t>
  </si>
  <si>
    <t>ALMONTE</t>
  </si>
  <si>
    <t>RIO TINTO</t>
  </si>
  <si>
    <t>THARSIS</t>
  </si>
  <si>
    <t>AYAMONTE</t>
  </si>
  <si>
    <t>SAN ROQUE</t>
  </si>
  <si>
    <t>MOGUER</t>
  </si>
  <si>
    <t>BAEZA</t>
  </si>
  <si>
    <t>BAILEN</t>
  </si>
  <si>
    <t>ANDUJAR</t>
  </si>
  <si>
    <t>LINARES</t>
  </si>
  <si>
    <t>MARTOS</t>
  </si>
  <si>
    <t>LA CAORLINA</t>
  </si>
  <si>
    <t>HUERCAL-OVERA</t>
  </si>
  <si>
    <t>ADRA</t>
  </si>
  <si>
    <t>GUADIX</t>
  </si>
  <si>
    <t>LOJA</t>
  </si>
  <si>
    <t>MOTRIL</t>
  </si>
  <si>
    <t>BAZA</t>
  </si>
  <si>
    <t>ALMUÑECAR</t>
  </si>
  <si>
    <t>MONTILLA</t>
  </si>
  <si>
    <t>LUCENA</t>
  </si>
  <si>
    <r>
      <t>TOTAL DE MENCIONES:</t>
    </r>
    <r>
      <rPr>
        <b/>
        <sz val="22"/>
        <color theme="1"/>
        <rFont val="Calibri"/>
        <family val="2"/>
        <scheme val="minor"/>
      </rPr>
      <t xml:space="preserve"> 2344</t>
    </r>
    <r>
      <rPr>
        <sz val="22"/>
        <color theme="1"/>
        <rFont val="Calibri"/>
        <family val="2"/>
        <scheme val="minor"/>
      </rPr>
      <t xml:space="preserve"> (de 223 metadatos) de los cuales</t>
    </r>
    <r>
      <rPr>
        <b/>
        <sz val="22"/>
        <color theme="1"/>
        <rFont val="Calibri"/>
        <family val="2"/>
        <scheme val="minor"/>
      </rPr>
      <t xml:space="preserve"> </t>
    </r>
  </si>
  <si>
    <r>
      <rPr>
        <b/>
        <sz val="22"/>
        <color theme="1"/>
        <rFont val="Calibri"/>
        <family val="2"/>
        <scheme val="minor"/>
      </rPr>
      <t>1677</t>
    </r>
    <r>
      <rPr>
        <sz val="22"/>
        <color theme="1"/>
        <rFont val="Calibri"/>
        <family val="2"/>
        <scheme val="minor"/>
      </rPr>
      <t xml:space="preserve"> (de 99 metadatos) son municipios como capitales de provincia, </t>
    </r>
    <r>
      <rPr>
        <b/>
        <sz val="22"/>
        <color theme="1"/>
        <rFont val="Calibri"/>
        <family val="2"/>
        <scheme val="minor"/>
      </rPr>
      <t>473</t>
    </r>
    <r>
      <rPr>
        <sz val="22"/>
        <color theme="1"/>
        <rFont val="Calibri"/>
        <family val="2"/>
        <scheme val="minor"/>
      </rPr>
      <t xml:space="preserve"> (de 108 metadatos) No capitales y </t>
    </r>
    <r>
      <rPr>
        <b/>
        <sz val="22"/>
        <color theme="1"/>
        <rFont val="Calibri"/>
        <family val="2"/>
        <scheme val="minor"/>
      </rPr>
      <t>194</t>
    </r>
    <r>
      <rPr>
        <sz val="22"/>
        <color theme="1"/>
        <rFont val="Calibri"/>
        <family val="2"/>
        <scheme val="minor"/>
      </rPr>
      <t xml:space="preserve"> (de 16 metadatos) referentes a la comunidad de Andalucía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</si>
</sst>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 wrapText="1"/>
    </xf>
    <xf numFmtId="0" fontId="1" fillId="0" borderId="15" xfId="1" applyFill="1" applyBorder="1" applyAlignment="1">
      <alignment horizontal="center" vertical="center"/>
    </xf>
    <xf numFmtId="0" fontId="1" fillId="0" borderId="17" xfId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5" fillId="4" borderId="57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14" fillId="3" borderId="57" xfId="0" applyFont="1" applyFill="1" applyBorder="1"/>
    <xf numFmtId="0" fontId="14" fillId="3" borderId="58" xfId="0" applyFont="1" applyFill="1" applyBorder="1"/>
    <xf numFmtId="0" fontId="13" fillId="3" borderId="58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3" fillId="3" borderId="57" xfId="0" applyFont="1" applyFill="1" applyBorder="1" applyAlignment="1">
      <alignment horizontal="center"/>
    </xf>
    <xf numFmtId="0" fontId="14" fillId="3" borderId="59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57" xfId="1" applyFont="1" applyBorder="1" applyAlignment="1">
      <alignment horizontal="center" vertical="center" wrapText="1"/>
    </xf>
    <xf numFmtId="0" fontId="6" fillId="0" borderId="60" xfId="1" applyFont="1" applyBorder="1" applyAlignment="1">
      <alignment horizontal="center" vertical="center" wrapText="1"/>
    </xf>
    <xf numFmtId="0" fontId="6" fillId="0" borderId="59" xfId="1" applyFont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50" xfId="0" applyFont="1" applyBorder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5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5" borderId="65" xfId="0" applyFont="1" applyFill="1" applyBorder="1" applyAlignment="1">
      <alignment horizontal="center" vertical="center"/>
    </xf>
    <xf numFmtId="0" fontId="2" fillId="0" borderId="69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64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17" fillId="7" borderId="61" xfId="1" applyFont="1" applyFill="1" applyBorder="1" applyAlignment="1">
      <alignment horizontal="center" vertical="center" wrapText="1"/>
    </xf>
    <xf numFmtId="0" fontId="17" fillId="7" borderId="35" xfId="1" applyFont="1" applyFill="1" applyBorder="1" applyAlignment="1">
      <alignment horizontal="center" vertical="center" wrapText="1"/>
    </xf>
    <xf numFmtId="0" fontId="17" fillId="7" borderId="32" xfId="1" applyFont="1" applyFill="1" applyBorder="1" applyAlignment="1">
      <alignment horizontal="center" vertical="center" wrapText="1"/>
    </xf>
    <xf numFmtId="0" fontId="16" fillId="5" borderId="61" xfId="0" applyFont="1" applyFill="1" applyBorder="1" applyAlignment="1">
      <alignment horizontal="center" vertical="center" wrapText="1"/>
    </xf>
    <xf numFmtId="0" fontId="16" fillId="5" borderId="35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9" fillId="5" borderId="61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40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56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5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9" fillId="4" borderId="63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16" fillId="6" borderId="37" xfId="0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left" vertical="center"/>
    </xf>
    <xf numFmtId="0" fontId="16" fillId="6" borderId="37" xfId="0" applyFont="1" applyFill="1" applyBorder="1" applyAlignment="1">
      <alignment horizontal="left" vertical="center"/>
    </xf>
    <xf numFmtId="0" fontId="18" fillId="5" borderId="49" xfId="0" applyFont="1" applyFill="1" applyBorder="1" applyAlignment="1">
      <alignment horizontal="center" vertical="center" wrapText="1"/>
    </xf>
    <xf numFmtId="0" fontId="18" fillId="5" borderId="71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B23"/>
  <sheetViews>
    <sheetView tabSelected="1" zoomScale="50" zoomScaleNormal="50" workbookViewId="0">
      <selection sqref="A1:D1"/>
    </sheetView>
  </sheetViews>
  <sheetFormatPr baseColWidth="10" defaultColWidth="8.88671875" defaultRowHeight="15.6" x14ac:dyDescent="0.3"/>
  <cols>
    <col min="1" max="1" width="87.6640625" style="3" customWidth="1"/>
    <col min="2" max="2" width="53.44140625" style="1" customWidth="1"/>
    <col min="3" max="3" width="10.5546875" style="1" customWidth="1"/>
    <col min="4" max="4" width="18.5546875" style="1" customWidth="1"/>
    <col min="5" max="5" width="29.88671875" style="1" customWidth="1"/>
    <col min="6" max="6" width="32.21875" style="1" customWidth="1"/>
    <col min="7" max="8" width="14.88671875" style="1" customWidth="1"/>
    <col min="9" max="9" width="32.21875" style="1" customWidth="1"/>
    <col min="10" max="11" width="10.88671875" style="1" customWidth="1"/>
    <col min="12" max="12" width="15" style="1" customWidth="1"/>
    <col min="13" max="14" width="13" style="1" customWidth="1"/>
    <col min="15" max="15" width="11.6640625" style="1" customWidth="1"/>
    <col min="16" max="16" width="12.33203125" style="1" customWidth="1"/>
    <col min="17" max="17" width="12.5546875" style="1" customWidth="1"/>
    <col min="18" max="18" width="13.44140625" style="1" customWidth="1"/>
    <col min="19" max="19" width="10.77734375" style="1" customWidth="1"/>
    <col min="20" max="20" width="12.33203125" style="1" customWidth="1"/>
    <col min="21" max="21" width="12.21875" style="1" customWidth="1"/>
    <col min="22" max="22" width="13.109375" style="1" customWidth="1"/>
    <col min="23" max="23" width="34.88671875" style="1" customWidth="1"/>
    <col min="24" max="24" width="13.21875" style="1" customWidth="1"/>
    <col min="25" max="25" width="13.5546875" style="1" customWidth="1"/>
    <col min="26" max="26" width="18.109375" style="1" customWidth="1"/>
    <col min="27" max="27" width="16.44140625" style="1" customWidth="1"/>
    <col min="28" max="28" width="14.21875" style="1" customWidth="1"/>
    <col min="29" max="29" width="10.5546875" style="1" customWidth="1"/>
    <col min="30" max="30" width="10.77734375" style="1" customWidth="1"/>
    <col min="31" max="31" width="19.109375" style="1" customWidth="1"/>
    <col min="32" max="33" width="13.33203125" style="1" customWidth="1"/>
    <col min="34" max="34" width="14.109375" style="1" customWidth="1"/>
    <col min="35" max="35" width="13.44140625" style="1" customWidth="1"/>
    <col min="36" max="36" width="10.77734375" style="1" customWidth="1"/>
    <col min="37" max="37" width="13.21875" style="1" customWidth="1"/>
    <col min="38" max="38" width="18.88671875" style="1" customWidth="1"/>
    <col min="39" max="39" width="16.44140625" style="1" customWidth="1"/>
    <col min="40" max="40" width="13.5546875" style="1" customWidth="1"/>
    <col min="41" max="41" width="15.88671875" style="1" customWidth="1"/>
    <col min="42" max="42" width="15.77734375" style="1" customWidth="1"/>
    <col min="43" max="43" width="11.77734375" style="1" customWidth="1"/>
    <col min="44" max="44" width="14.44140625" style="1" customWidth="1"/>
    <col min="45" max="45" width="12.77734375" style="1" customWidth="1"/>
    <col min="46" max="46" width="12.33203125" style="1" customWidth="1"/>
    <col min="47" max="47" width="11.21875" style="1" customWidth="1"/>
    <col min="48" max="48" width="16.33203125" style="1" customWidth="1"/>
    <col min="49" max="49" width="17.88671875" style="1" customWidth="1"/>
    <col min="50" max="50" width="10.5546875" style="1" customWidth="1"/>
    <col min="51" max="51" width="14.5546875" style="1" customWidth="1"/>
    <col min="52" max="52" width="14.6640625" style="1" customWidth="1"/>
    <col min="53" max="53" width="12.6640625" style="1" customWidth="1"/>
    <col min="54" max="54" width="16.33203125" style="1" customWidth="1"/>
    <col min="55" max="55" width="11.5546875" style="1" customWidth="1"/>
    <col min="56" max="56" width="13.109375" style="1" customWidth="1"/>
    <col min="57" max="57" width="10.6640625" style="1" customWidth="1"/>
    <col min="58" max="58" width="13.109375" style="1" customWidth="1"/>
    <col min="59" max="59" width="13.33203125" style="1" customWidth="1"/>
    <col min="60" max="60" width="13.77734375" style="1" customWidth="1"/>
    <col min="61" max="61" width="16" style="1" customWidth="1"/>
    <col min="62" max="62" width="15.5546875" style="1" customWidth="1"/>
    <col min="63" max="63" width="13.77734375" style="1" customWidth="1"/>
    <col min="64" max="64" width="14.6640625" style="1" customWidth="1"/>
    <col min="65" max="65" width="11.44140625" style="1" customWidth="1"/>
    <col min="66" max="66" width="11.77734375" style="1" customWidth="1"/>
    <col min="67" max="67" width="10.109375" style="1" customWidth="1"/>
    <col min="68" max="68" width="11.88671875" style="1" customWidth="1"/>
    <col min="69" max="69" width="12" style="1" customWidth="1"/>
    <col min="70" max="70" width="19.6640625" style="1" customWidth="1"/>
    <col min="71" max="71" width="14.5546875" style="1" customWidth="1"/>
    <col min="72" max="72" width="16" style="1" customWidth="1"/>
    <col min="73" max="16384" width="8.88671875" style="1"/>
  </cols>
  <sheetData>
    <row r="1" spans="1:288" s="2" customFormat="1" ht="42.6" customHeight="1" thickBot="1" x14ac:dyDescent="0.35">
      <c r="A1" s="203" t="s">
        <v>14</v>
      </c>
      <c r="B1" s="204"/>
      <c r="C1" s="204"/>
      <c r="D1" s="204"/>
      <c r="E1" s="97"/>
      <c r="F1" s="192" t="s">
        <v>97</v>
      </c>
      <c r="G1" s="188" t="s">
        <v>47</v>
      </c>
      <c r="H1" s="189"/>
      <c r="I1" s="192" t="s">
        <v>97</v>
      </c>
      <c r="J1" s="205" t="s">
        <v>71</v>
      </c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7"/>
      <c r="W1" s="192" t="s">
        <v>97</v>
      </c>
      <c r="X1" s="208" t="s">
        <v>72</v>
      </c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09"/>
      <c r="BI1" s="209"/>
      <c r="BJ1" s="209"/>
      <c r="BK1" s="209"/>
      <c r="BL1" s="209"/>
      <c r="BM1" s="209"/>
      <c r="BN1" s="209"/>
      <c r="BO1" s="209"/>
      <c r="BP1" s="209"/>
      <c r="BQ1" s="209"/>
      <c r="BR1" s="209"/>
      <c r="BS1" s="209"/>
      <c r="BT1" s="209"/>
      <c r="BU1" s="3"/>
    </row>
    <row r="2" spans="1:288" ht="48.6" customHeight="1" thickTop="1" thickBot="1" x14ac:dyDescent="0.35">
      <c r="A2" s="184" t="s">
        <v>17</v>
      </c>
      <c r="B2" s="190" t="s">
        <v>10</v>
      </c>
      <c r="C2" s="190" t="s">
        <v>11</v>
      </c>
      <c r="D2" s="186" t="s">
        <v>16</v>
      </c>
      <c r="E2" s="177" t="s">
        <v>81</v>
      </c>
      <c r="F2" s="193"/>
      <c r="G2" s="179" t="s">
        <v>103</v>
      </c>
      <c r="H2" s="180"/>
      <c r="I2" s="193"/>
      <c r="J2" s="182" t="s">
        <v>104</v>
      </c>
      <c r="K2" s="181"/>
      <c r="L2" s="183" t="s">
        <v>105</v>
      </c>
      <c r="M2" s="181" t="s">
        <v>106</v>
      </c>
      <c r="N2" s="181"/>
      <c r="O2" s="181"/>
      <c r="P2" s="182" t="s">
        <v>107</v>
      </c>
      <c r="Q2" s="181"/>
      <c r="R2" s="159" t="s">
        <v>108</v>
      </c>
      <c r="S2" s="182" t="s">
        <v>109</v>
      </c>
      <c r="T2" s="181"/>
      <c r="U2" s="183" t="s">
        <v>110</v>
      </c>
      <c r="V2" s="159" t="s">
        <v>111</v>
      </c>
      <c r="W2" s="193"/>
      <c r="X2" s="168" t="s">
        <v>112</v>
      </c>
      <c r="Y2" s="202" t="s">
        <v>113</v>
      </c>
      <c r="Z2" s="201"/>
      <c r="AA2" s="135" t="s">
        <v>114</v>
      </c>
      <c r="AB2" s="135" t="s">
        <v>115</v>
      </c>
      <c r="AC2" s="135" t="s">
        <v>116</v>
      </c>
      <c r="AD2" s="176" t="s">
        <v>117</v>
      </c>
      <c r="AE2" s="168" t="s">
        <v>118</v>
      </c>
      <c r="AF2" s="163" t="s">
        <v>119</v>
      </c>
      <c r="AG2" s="164"/>
      <c r="AH2" s="135" t="s">
        <v>120</v>
      </c>
      <c r="AI2" s="135" t="s">
        <v>121</v>
      </c>
      <c r="AJ2" s="135" t="s">
        <v>122</v>
      </c>
      <c r="AK2" s="135" t="s">
        <v>123</v>
      </c>
      <c r="AL2" s="163" t="s">
        <v>124</v>
      </c>
      <c r="AM2" s="166" t="s">
        <v>125</v>
      </c>
      <c r="AN2" s="168" t="s">
        <v>126</v>
      </c>
      <c r="AO2" s="135" t="s">
        <v>127</v>
      </c>
      <c r="AP2" s="135" t="s">
        <v>128</v>
      </c>
      <c r="AQ2" s="135" t="s">
        <v>129</v>
      </c>
      <c r="AR2" s="135" t="s">
        <v>130</v>
      </c>
      <c r="AS2" s="135" t="s">
        <v>131</v>
      </c>
      <c r="AT2" s="161" t="s">
        <v>132</v>
      </c>
      <c r="AU2" s="162"/>
      <c r="AV2" s="135" t="s">
        <v>133</v>
      </c>
      <c r="AW2" s="137" t="s">
        <v>134</v>
      </c>
      <c r="AX2" s="163" t="s">
        <v>135</v>
      </c>
      <c r="AY2" s="195" t="s">
        <v>136</v>
      </c>
      <c r="AZ2" s="137" t="s">
        <v>137</v>
      </c>
      <c r="BA2" s="137" t="s">
        <v>138</v>
      </c>
      <c r="BB2" s="137" t="s">
        <v>139</v>
      </c>
      <c r="BC2" s="137" t="s">
        <v>140</v>
      </c>
      <c r="BD2" s="166" t="s">
        <v>141</v>
      </c>
      <c r="BE2" s="168" t="s">
        <v>142</v>
      </c>
      <c r="BF2" s="135" t="s">
        <v>143</v>
      </c>
      <c r="BG2" s="135" t="s">
        <v>144</v>
      </c>
      <c r="BH2" s="135" t="s">
        <v>145</v>
      </c>
      <c r="BI2" s="135" t="s">
        <v>146</v>
      </c>
      <c r="BJ2" s="176" t="s">
        <v>147</v>
      </c>
      <c r="BK2" s="200" t="s">
        <v>148</v>
      </c>
      <c r="BL2" s="201"/>
      <c r="BM2" s="176" t="s">
        <v>149</v>
      </c>
      <c r="BN2" s="168" t="s">
        <v>150</v>
      </c>
      <c r="BO2" s="135" t="s">
        <v>151</v>
      </c>
      <c r="BP2" s="135" t="s">
        <v>152</v>
      </c>
      <c r="BQ2" s="135" t="s">
        <v>153</v>
      </c>
      <c r="BR2" s="176" t="s">
        <v>154</v>
      </c>
      <c r="BS2" s="168" t="s">
        <v>155</v>
      </c>
      <c r="BT2" s="163" t="s">
        <v>156</v>
      </c>
      <c r="BU2" s="3"/>
    </row>
    <row r="3" spans="1:288" ht="39" customHeight="1" thickTop="1" thickBot="1" x14ac:dyDescent="0.35">
      <c r="A3" s="185"/>
      <c r="B3" s="191"/>
      <c r="C3" s="191"/>
      <c r="D3" s="187"/>
      <c r="E3" s="178"/>
      <c r="F3" s="194"/>
      <c r="G3" s="112" t="s">
        <v>39</v>
      </c>
      <c r="H3" s="113" t="s">
        <v>38</v>
      </c>
      <c r="I3" s="194"/>
      <c r="J3" s="105" t="s">
        <v>37</v>
      </c>
      <c r="K3" s="119" t="s">
        <v>36</v>
      </c>
      <c r="L3" s="182"/>
      <c r="M3" s="121" t="s">
        <v>41</v>
      </c>
      <c r="N3" s="120" t="s">
        <v>42</v>
      </c>
      <c r="O3" s="106" t="s">
        <v>40</v>
      </c>
      <c r="P3" s="123" t="s">
        <v>44</v>
      </c>
      <c r="Q3" s="124" t="s">
        <v>43</v>
      </c>
      <c r="R3" s="160"/>
      <c r="S3" s="106" t="s">
        <v>45</v>
      </c>
      <c r="T3" s="124" t="s">
        <v>46</v>
      </c>
      <c r="U3" s="160"/>
      <c r="V3" s="160"/>
      <c r="W3" s="194"/>
      <c r="X3" s="169"/>
      <c r="Y3" s="107" t="s">
        <v>32</v>
      </c>
      <c r="Z3" s="109" t="s">
        <v>33</v>
      </c>
      <c r="AA3" s="136"/>
      <c r="AB3" s="136"/>
      <c r="AC3" s="136"/>
      <c r="AD3" s="167"/>
      <c r="AE3" s="169"/>
      <c r="AF3" s="13" t="s">
        <v>35</v>
      </c>
      <c r="AG3" s="108" t="s">
        <v>49</v>
      </c>
      <c r="AH3" s="136"/>
      <c r="AI3" s="136"/>
      <c r="AJ3" s="136"/>
      <c r="AK3" s="136"/>
      <c r="AL3" s="165"/>
      <c r="AM3" s="167"/>
      <c r="AN3" s="169"/>
      <c r="AO3" s="136"/>
      <c r="AP3" s="136"/>
      <c r="AQ3" s="136"/>
      <c r="AR3" s="136"/>
      <c r="AS3" s="136"/>
      <c r="AT3" s="109" t="s">
        <v>48</v>
      </c>
      <c r="AU3" s="107" t="s">
        <v>34</v>
      </c>
      <c r="AV3" s="136"/>
      <c r="AW3" s="136"/>
      <c r="AX3" s="165"/>
      <c r="AY3" s="182"/>
      <c r="AZ3" s="136"/>
      <c r="BA3" s="136"/>
      <c r="BB3" s="136"/>
      <c r="BC3" s="136"/>
      <c r="BD3" s="167"/>
      <c r="BE3" s="169"/>
      <c r="BF3" s="136"/>
      <c r="BG3" s="136"/>
      <c r="BH3" s="136"/>
      <c r="BI3" s="136"/>
      <c r="BJ3" s="167"/>
      <c r="BK3" s="110" t="s">
        <v>56</v>
      </c>
      <c r="BL3" s="111" t="s">
        <v>57</v>
      </c>
      <c r="BM3" s="167"/>
      <c r="BN3" s="169"/>
      <c r="BO3" s="136"/>
      <c r="BP3" s="136"/>
      <c r="BQ3" s="136"/>
      <c r="BR3" s="167"/>
      <c r="BS3" s="169"/>
      <c r="BT3" s="165"/>
      <c r="BU3" s="3"/>
    </row>
    <row r="4" spans="1:288" ht="34.200000000000003" customHeight="1" thickTop="1" x14ac:dyDescent="0.5">
      <c r="A4" s="14" t="s">
        <v>73</v>
      </c>
      <c r="B4" s="15" t="s">
        <v>12</v>
      </c>
      <c r="C4" s="16">
        <v>1900</v>
      </c>
      <c r="D4" s="43" t="s">
        <v>0</v>
      </c>
      <c r="E4" s="98" t="s">
        <v>82</v>
      </c>
      <c r="F4" s="81"/>
      <c r="G4" s="76">
        <v>26</v>
      </c>
      <c r="H4" s="114"/>
      <c r="I4" s="81"/>
      <c r="J4" s="66">
        <v>64</v>
      </c>
      <c r="K4" s="114"/>
      <c r="L4" s="68">
        <v>48</v>
      </c>
      <c r="M4" s="14">
        <v>14</v>
      </c>
      <c r="N4" s="21"/>
      <c r="O4" s="22"/>
      <c r="P4" s="68">
        <v>21</v>
      </c>
      <c r="Q4" s="114"/>
      <c r="R4" s="70">
        <v>2</v>
      </c>
      <c r="S4" s="22"/>
      <c r="T4" s="114"/>
      <c r="U4" s="35"/>
      <c r="V4" s="70"/>
      <c r="W4" s="81"/>
      <c r="X4" s="14">
        <v>7</v>
      </c>
      <c r="Y4" s="21"/>
      <c r="Z4" s="21"/>
      <c r="AA4" s="21"/>
      <c r="AB4" s="21"/>
      <c r="AC4" s="21"/>
      <c r="AD4" s="22"/>
      <c r="AE4" s="14"/>
      <c r="AF4" s="92">
        <v>5</v>
      </c>
      <c r="AG4" s="42"/>
      <c r="AH4" s="21"/>
      <c r="AI4" s="93">
        <v>4</v>
      </c>
      <c r="AJ4" s="21"/>
      <c r="AK4" s="21">
        <v>1</v>
      </c>
      <c r="AL4" s="22"/>
      <c r="AM4" s="21"/>
      <c r="AN4" s="14">
        <v>1</v>
      </c>
      <c r="AO4" s="21"/>
      <c r="AP4" s="22"/>
      <c r="AQ4" s="21"/>
      <c r="AR4" s="21"/>
      <c r="AS4" s="21"/>
      <c r="AT4" s="21"/>
      <c r="AU4" s="21"/>
      <c r="AV4" s="21"/>
      <c r="AW4" s="22"/>
      <c r="AX4" s="22"/>
      <c r="AY4" s="35"/>
      <c r="AZ4" s="21"/>
      <c r="BA4" s="23"/>
      <c r="BB4" s="21"/>
      <c r="BC4" s="21"/>
      <c r="BD4" s="114"/>
      <c r="BE4" s="14"/>
      <c r="BF4" s="21"/>
      <c r="BG4" s="21"/>
      <c r="BH4" s="22"/>
      <c r="BI4" s="22"/>
      <c r="BJ4" s="22"/>
      <c r="BK4" s="14"/>
      <c r="BL4" s="66"/>
      <c r="BM4" s="22"/>
      <c r="BN4" s="14">
        <v>1</v>
      </c>
      <c r="BO4" s="21"/>
      <c r="BP4" s="21"/>
      <c r="BQ4" s="21"/>
      <c r="BR4" s="22"/>
      <c r="BS4" s="14"/>
      <c r="BT4" s="22"/>
      <c r="BU4" s="3"/>
    </row>
    <row r="5" spans="1:288" ht="34.200000000000003" customHeight="1" x14ac:dyDescent="0.5">
      <c r="A5" s="10" t="s">
        <v>23</v>
      </c>
      <c r="B5" s="4" t="s">
        <v>27</v>
      </c>
      <c r="C5" s="5">
        <v>1902</v>
      </c>
      <c r="D5" s="44" t="s">
        <v>28</v>
      </c>
      <c r="E5" s="99" t="s">
        <v>83</v>
      </c>
      <c r="F5" s="83" t="s">
        <v>61</v>
      </c>
      <c r="G5" s="26">
        <v>17</v>
      </c>
      <c r="H5" s="115"/>
      <c r="I5" s="82"/>
      <c r="J5" s="25">
        <v>11</v>
      </c>
      <c r="K5" s="115"/>
      <c r="L5" s="27">
        <v>6</v>
      </c>
      <c r="M5" s="10"/>
      <c r="N5" s="79">
        <v>5</v>
      </c>
      <c r="O5" s="26"/>
      <c r="P5" s="27">
        <v>7</v>
      </c>
      <c r="Q5" s="115"/>
      <c r="R5" s="58">
        <v>10</v>
      </c>
      <c r="S5" s="26"/>
      <c r="T5" s="115"/>
      <c r="U5" s="27">
        <v>1</v>
      </c>
      <c r="V5" s="58"/>
      <c r="W5" s="83" t="s">
        <v>70</v>
      </c>
      <c r="X5" s="10">
        <v>12</v>
      </c>
      <c r="Y5" s="6">
        <v>1</v>
      </c>
      <c r="Z5" s="6"/>
      <c r="AA5" s="6"/>
      <c r="AB5" s="6">
        <v>1</v>
      </c>
      <c r="AC5" s="6">
        <v>1</v>
      </c>
      <c r="AD5" s="26">
        <v>1</v>
      </c>
      <c r="AE5" s="10">
        <v>7</v>
      </c>
      <c r="AF5" s="28">
        <v>2</v>
      </c>
      <c r="AG5" s="28"/>
      <c r="AH5" s="6">
        <v>2</v>
      </c>
      <c r="AI5" s="6"/>
      <c r="AJ5" s="64">
        <v>2</v>
      </c>
      <c r="AK5" s="6"/>
      <c r="AL5" s="26"/>
      <c r="AM5" s="6"/>
      <c r="AN5" s="10"/>
      <c r="AO5" s="6"/>
      <c r="AP5" s="26"/>
      <c r="AQ5" s="6"/>
      <c r="AR5" s="6"/>
      <c r="AS5" s="6"/>
      <c r="AT5" s="6"/>
      <c r="AU5" s="6"/>
      <c r="AV5" s="6"/>
      <c r="AW5" s="26"/>
      <c r="AX5" s="26">
        <v>1</v>
      </c>
      <c r="AY5" s="27"/>
      <c r="AZ5" s="6"/>
      <c r="BA5" s="28"/>
      <c r="BB5" s="6">
        <v>1</v>
      </c>
      <c r="BC5" s="6">
        <v>1</v>
      </c>
      <c r="BD5" s="115"/>
      <c r="BE5" s="10"/>
      <c r="BF5" s="6"/>
      <c r="BG5" s="6"/>
      <c r="BH5" s="26"/>
      <c r="BI5" s="26"/>
      <c r="BJ5" s="26"/>
      <c r="BK5" s="10"/>
      <c r="BL5" s="25"/>
      <c r="BM5" s="26"/>
      <c r="BN5" s="10"/>
      <c r="BO5" s="6"/>
      <c r="BP5" s="6"/>
      <c r="BQ5" s="6"/>
      <c r="BR5" s="26"/>
      <c r="BS5" s="10"/>
      <c r="BT5" s="26"/>
      <c r="BU5" s="3"/>
    </row>
    <row r="6" spans="1:288" ht="34.799999999999997" customHeight="1" x14ac:dyDescent="0.5">
      <c r="A6" s="10" t="s">
        <v>15</v>
      </c>
      <c r="B6" s="4" t="s">
        <v>13</v>
      </c>
      <c r="C6" s="5">
        <v>1903</v>
      </c>
      <c r="D6" s="45" t="s">
        <v>0</v>
      </c>
      <c r="E6" s="99" t="s">
        <v>84</v>
      </c>
      <c r="F6" s="83" t="s">
        <v>99</v>
      </c>
      <c r="G6" s="26">
        <v>6</v>
      </c>
      <c r="H6" s="115">
        <v>2</v>
      </c>
      <c r="I6" s="82"/>
      <c r="J6" s="25">
        <v>33</v>
      </c>
      <c r="K6" s="115">
        <v>2</v>
      </c>
      <c r="L6" s="27">
        <v>18</v>
      </c>
      <c r="M6" s="10">
        <v>24</v>
      </c>
      <c r="N6" s="6"/>
      <c r="O6" s="26"/>
      <c r="P6" s="27">
        <v>15</v>
      </c>
      <c r="Q6" s="115"/>
      <c r="R6" s="57">
        <v>13</v>
      </c>
      <c r="S6" s="26">
        <v>1</v>
      </c>
      <c r="T6" s="116">
        <v>5</v>
      </c>
      <c r="U6" s="55">
        <v>4</v>
      </c>
      <c r="V6" s="57">
        <v>4</v>
      </c>
      <c r="W6" s="82"/>
      <c r="X6" s="10">
        <v>4</v>
      </c>
      <c r="Y6" s="6"/>
      <c r="Z6" s="6"/>
      <c r="AA6" s="6"/>
      <c r="AB6" s="6"/>
      <c r="AC6" s="6"/>
      <c r="AD6" s="26"/>
      <c r="AE6" s="10"/>
      <c r="AF6" s="28"/>
      <c r="AG6" s="28"/>
      <c r="AH6" s="6"/>
      <c r="AI6" s="6"/>
      <c r="AJ6" s="6"/>
      <c r="AK6" s="6"/>
      <c r="AL6" s="26"/>
      <c r="AM6" s="6"/>
      <c r="AN6" s="10"/>
      <c r="AO6" s="6"/>
      <c r="AP6" s="26"/>
      <c r="AQ6" s="6"/>
      <c r="AR6" s="6"/>
      <c r="AS6" s="6"/>
      <c r="AT6" s="6"/>
      <c r="AU6" s="6"/>
      <c r="AV6" s="6"/>
      <c r="AW6" s="26"/>
      <c r="AX6" s="26"/>
      <c r="AY6" s="27"/>
      <c r="AZ6" s="64">
        <v>9</v>
      </c>
      <c r="BA6" s="62">
        <v>5</v>
      </c>
      <c r="BB6" s="6"/>
      <c r="BC6" s="6"/>
      <c r="BD6" s="115"/>
      <c r="BE6" s="10">
        <v>1</v>
      </c>
      <c r="BF6" s="64">
        <v>2</v>
      </c>
      <c r="BG6" s="6"/>
      <c r="BH6" s="26"/>
      <c r="BI6" s="26"/>
      <c r="BJ6" s="26"/>
      <c r="BK6" s="56">
        <v>7</v>
      </c>
      <c r="BL6" s="54">
        <v>2</v>
      </c>
      <c r="BM6" s="26"/>
      <c r="BN6" s="10"/>
      <c r="BO6" s="6">
        <v>1</v>
      </c>
      <c r="BP6" s="6"/>
      <c r="BQ6" s="6"/>
      <c r="BR6" s="26"/>
      <c r="BS6" s="10"/>
      <c r="BT6" s="26"/>
      <c r="BU6" s="3"/>
    </row>
    <row r="7" spans="1:288" ht="28.2" customHeight="1" x14ac:dyDescent="0.5">
      <c r="A7" s="10" t="s">
        <v>21</v>
      </c>
      <c r="B7" s="4" t="s">
        <v>19</v>
      </c>
      <c r="C7" s="5">
        <v>1904</v>
      </c>
      <c r="D7" s="45" t="s">
        <v>1</v>
      </c>
      <c r="E7" s="99" t="s">
        <v>85</v>
      </c>
      <c r="F7" s="83" t="s">
        <v>100</v>
      </c>
      <c r="G7" s="26">
        <v>5</v>
      </c>
      <c r="H7" s="115"/>
      <c r="I7" s="83" t="s">
        <v>61</v>
      </c>
      <c r="J7" s="25">
        <v>53</v>
      </c>
      <c r="K7" s="115"/>
      <c r="L7" s="72">
        <v>43</v>
      </c>
      <c r="M7" s="10">
        <v>5</v>
      </c>
      <c r="N7" s="6"/>
      <c r="O7" s="26"/>
      <c r="P7" s="27">
        <v>1</v>
      </c>
      <c r="Q7" s="115"/>
      <c r="R7" s="58">
        <v>4</v>
      </c>
      <c r="S7" s="53">
        <v>9</v>
      </c>
      <c r="T7" s="115"/>
      <c r="U7" s="27"/>
      <c r="V7" s="58"/>
      <c r="W7" s="83" t="s">
        <v>61</v>
      </c>
      <c r="X7" s="10">
        <v>8</v>
      </c>
      <c r="Y7" s="79">
        <v>5</v>
      </c>
      <c r="Z7" s="6"/>
      <c r="AA7" s="6"/>
      <c r="AB7" s="6"/>
      <c r="AC7" s="6"/>
      <c r="AD7" s="26"/>
      <c r="AE7" s="10">
        <v>4</v>
      </c>
      <c r="AF7" s="28"/>
      <c r="AG7" s="28"/>
      <c r="AH7" s="6"/>
      <c r="AI7" s="6"/>
      <c r="AJ7" s="6"/>
      <c r="AK7" s="6"/>
      <c r="AL7" s="26"/>
      <c r="AM7" s="6"/>
      <c r="AN7" s="10"/>
      <c r="AO7" s="6"/>
      <c r="AP7" s="26"/>
      <c r="AQ7" s="6"/>
      <c r="AR7" s="6"/>
      <c r="AS7" s="6"/>
      <c r="AT7" s="6"/>
      <c r="AU7" s="6"/>
      <c r="AV7" s="6"/>
      <c r="AW7" s="26"/>
      <c r="AX7" s="26"/>
      <c r="AY7" s="27"/>
      <c r="AZ7" s="6"/>
      <c r="BA7" s="28"/>
      <c r="BB7" s="6"/>
      <c r="BC7" s="6"/>
      <c r="BD7" s="115"/>
      <c r="BE7" s="10"/>
      <c r="BF7" s="6"/>
      <c r="BG7" s="6"/>
      <c r="BH7" s="26"/>
      <c r="BI7" s="26"/>
      <c r="BJ7" s="26"/>
      <c r="BK7" s="10"/>
      <c r="BL7" s="25"/>
      <c r="BM7" s="26"/>
      <c r="BN7" s="10"/>
      <c r="BO7" s="29"/>
      <c r="BP7" s="6"/>
      <c r="BQ7" s="6"/>
      <c r="BR7" s="26"/>
      <c r="BS7" s="10"/>
      <c r="BT7" s="26"/>
      <c r="BU7" s="3"/>
    </row>
    <row r="8" spans="1:288" ht="34.200000000000003" customHeight="1" thickBot="1" x14ac:dyDescent="0.55000000000000004">
      <c r="A8" s="11" t="s">
        <v>22</v>
      </c>
      <c r="B8" s="12" t="s">
        <v>18</v>
      </c>
      <c r="C8" s="13">
        <v>1905</v>
      </c>
      <c r="D8" s="46" t="s">
        <v>0</v>
      </c>
      <c r="E8" s="99" t="s">
        <v>86</v>
      </c>
      <c r="F8" s="84" t="s">
        <v>101</v>
      </c>
      <c r="G8" s="95">
        <v>39</v>
      </c>
      <c r="H8" s="24"/>
      <c r="I8" s="84" t="s">
        <v>62</v>
      </c>
      <c r="J8" s="74">
        <v>72</v>
      </c>
      <c r="K8" s="24">
        <v>1</v>
      </c>
      <c r="L8" s="32">
        <v>17</v>
      </c>
      <c r="M8" s="11">
        <v>21</v>
      </c>
      <c r="N8" s="33">
        <v>1</v>
      </c>
      <c r="O8" s="31"/>
      <c r="P8" s="32">
        <v>13</v>
      </c>
      <c r="Q8" s="24"/>
      <c r="R8" s="59">
        <v>9</v>
      </c>
      <c r="S8" s="31"/>
      <c r="T8" s="24"/>
      <c r="U8" s="32"/>
      <c r="V8" s="59"/>
      <c r="W8" s="84" t="s">
        <v>62</v>
      </c>
      <c r="X8" s="11">
        <v>16</v>
      </c>
      <c r="Y8" s="33"/>
      <c r="Z8" s="33"/>
      <c r="AA8" s="33"/>
      <c r="AB8" s="33"/>
      <c r="AC8" s="33"/>
      <c r="AD8" s="31"/>
      <c r="AE8" s="11">
        <v>1</v>
      </c>
      <c r="AF8" s="91">
        <v>13</v>
      </c>
      <c r="AG8" s="75"/>
      <c r="AH8" s="33"/>
      <c r="AI8" s="33"/>
      <c r="AJ8" s="33"/>
      <c r="AK8" s="33"/>
      <c r="AL8" s="31"/>
      <c r="AM8" s="33"/>
      <c r="AN8" s="94">
        <v>13</v>
      </c>
      <c r="AO8" s="88">
        <v>10</v>
      </c>
      <c r="AP8" s="95">
        <v>8</v>
      </c>
      <c r="AQ8" s="33"/>
      <c r="AR8" s="88">
        <v>4</v>
      </c>
      <c r="AS8" s="33"/>
      <c r="AT8" s="33"/>
      <c r="AU8" s="33"/>
      <c r="AV8" s="33"/>
      <c r="AW8" s="31"/>
      <c r="AX8" s="31"/>
      <c r="AY8" s="32"/>
      <c r="AZ8" s="33"/>
      <c r="BA8" s="34"/>
      <c r="BB8" s="33"/>
      <c r="BC8" s="33"/>
      <c r="BD8" s="24"/>
      <c r="BE8" s="11"/>
      <c r="BF8" s="33"/>
      <c r="BG8" s="33"/>
      <c r="BH8" s="31"/>
      <c r="BI8" s="31"/>
      <c r="BJ8" s="31"/>
      <c r="BK8" s="11"/>
      <c r="BL8" s="30"/>
      <c r="BM8" s="31"/>
      <c r="BN8" s="11"/>
      <c r="BO8" s="33"/>
      <c r="BP8" s="33"/>
      <c r="BQ8" s="33"/>
      <c r="BR8" s="31"/>
      <c r="BS8" s="11"/>
      <c r="BT8" s="31"/>
      <c r="BU8" s="3"/>
    </row>
    <row r="9" spans="1:288" ht="37.200000000000003" customHeight="1" thickTop="1" x14ac:dyDescent="0.5">
      <c r="A9" s="14" t="s">
        <v>15</v>
      </c>
      <c r="B9" s="15" t="s">
        <v>2</v>
      </c>
      <c r="C9" s="16">
        <v>1908</v>
      </c>
      <c r="D9" s="47" t="s">
        <v>0</v>
      </c>
      <c r="E9" s="99" t="s">
        <v>87</v>
      </c>
      <c r="F9" s="85" t="s">
        <v>98</v>
      </c>
      <c r="G9" s="76">
        <v>27</v>
      </c>
      <c r="H9" s="114"/>
      <c r="I9" s="85" t="s">
        <v>63</v>
      </c>
      <c r="J9" s="69">
        <v>92</v>
      </c>
      <c r="K9" s="114"/>
      <c r="L9" s="52">
        <v>90</v>
      </c>
      <c r="M9" s="122">
        <v>41</v>
      </c>
      <c r="N9" s="21">
        <v>1</v>
      </c>
      <c r="O9" s="22"/>
      <c r="P9" s="52">
        <v>25</v>
      </c>
      <c r="Q9" s="114"/>
      <c r="R9" s="77">
        <v>12</v>
      </c>
      <c r="S9" s="22">
        <v>2</v>
      </c>
      <c r="T9" s="114"/>
      <c r="U9" s="35">
        <v>1</v>
      </c>
      <c r="V9" s="60">
        <v>5</v>
      </c>
      <c r="W9" s="85" t="s">
        <v>63</v>
      </c>
      <c r="X9" s="14">
        <v>9</v>
      </c>
      <c r="Y9" s="21">
        <v>1</v>
      </c>
      <c r="Z9" s="29">
        <v>1</v>
      </c>
      <c r="AA9" s="89">
        <v>2</v>
      </c>
      <c r="AB9" s="29"/>
      <c r="AC9" s="29"/>
      <c r="AD9" s="36"/>
      <c r="AE9" s="14">
        <v>5</v>
      </c>
      <c r="AF9" s="23">
        <v>4</v>
      </c>
      <c r="AG9" s="23">
        <v>1</v>
      </c>
      <c r="AH9" s="21">
        <v>2</v>
      </c>
      <c r="AI9" s="21"/>
      <c r="AJ9" s="29"/>
      <c r="AK9" s="21">
        <v>1</v>
      </c>
      <c r="AL9" s="36"/>
      <c r="AM9" s="29">
        <v>1</v>
      </c>
      <c r="AN9" s="14"/>
      <c r="AO9" s="21"/>
      <c r="AP9" s="22">
        <v>2</v>
      </c>
      <c r="AQ9" s="21">
        <v>2</v>
      </c>
      <c r="AR9" s="21"/>
      <c r="AS9" s="96">
        <v>2</v>
      </c>
      <c r="AT9" s="29">
        <v>1</v>
      </c>
      <c r="AU9" s="29"/>
      <c r="AV9" s="29">
        <v>1</v>
      </c>
      <c r="AW9" s="36"/>
      <c r="AX9" s="36"/>
      <c r="AY9" s="35"/>
      <c r="AZ9" s="21"/>
      <c r="BA9" s="23"/>
      <c r="BB9" s="29">
        <v>1</v>
      </c>
      <c r="BC9" s="29"/>
      <c r="BD9" s="117"/>
      <c r="BE9" s="14"/>
      <c r="BF9" s="29"/>
      <c r="BG9" s="21"/>
      <c r="BH9" s="36"/>
      <c r="BI9" s="36">
        <v>1</v>
      </c>
      <c r="BJ9" s="36"/>
      <c r="BK9" s="14"/>
      <c r="BL9" s="40"/>
      <c r="BM9" s="36">
        <v>1</v>
      </c>
      <c r="BN9" s="65">
        <v>4</v>
      </c>
      <c r="BO9" s="21">
        <v>1</v>
      </c>
      <c r="BP9" s="29">
        <v>1</v>
      </c>
      <c r="BQ9" s="93">
        <v>2</v>
      </c>
      <c r="BR9" s="63">
        <v>2</v>
      </c>
      <c r="BS9" s="18"/>
      <c r="BT9" s="36"/>
      <c r="BU9" s="3"/>
    </row>
    <row r="10" spans="1:288" ht="31.2" customHeight="1" x14ac:dyDescent="0.5">
      <c r="A10" s="10" t="s">
        <v>75</v>
      </c>
      <c r="B10" s="4" t="s">
        <v>3</v>
      </c>
      <c r="C10" s="5">
        <v>1908</v>
      </c>
      <c r="D10" s="48" t="s">
        <v>1</v>
      </c>
      <c r="E10" s="99" t="s">
        <v>88</v>
      </c>
      <c r="F10" s="83" t="s">
        <v>64</v>
      </c>
      <c r="G10" s="26">
        <v>16</v>
      </c>
      <c r="H10" s="115"/>
      <c r="I10" s="83" t="s">
        <v>64</v>
      </c>
      <c r="J10" s="25">
        <v>59</v>
      </c>
      <c r="K10" s="115">
        <v>4</v>
      </c>
      <c r="L10" s="27">
        <v>16</v>
      </c>
      <c r="M10" s="56">
        <v>52</v>
      </c>
      <c r="N10" s="6">
        <v>3</v>
      </c>
      <c r="O10" s="26"/>
      <c r="P10" s="27">
        <v>2</v>
      </c>
      <c r="Q10" s="115"/>
      <c r="R10" s="58">
        <v>1</v>
      </c>
      <c r="S10" s="26"/>
      <c r="T10" s="115"/>
      <c r="U10" s="55">
        <v>4</v>
      </c>
      <c r="V10" s="58"/>
      <c r="W10" s="83" t="s">
        <v>64</v>
      </c>
      <c r="X10" s="56">
        <v>33</v>
      </c>
      <c r="Y10" s="6"/>
      <c r="Z10" s="6"/>
      <c r="AA10" s="6"/>
      <c r="AB10" s="6"/>
      <c r="AC10" s="6"/>
      <c r="AD10" s="26"/>
      <c r="AE10" s="67">
        <v>14</v>
      </c>
      <c r="AF10" s="28"/>
      <c r="AG10" s="28"/>
      <c r="AH10" s="6"/>
      <c r="AI10" s="6"/>
      <c r="AJ10" s="6"/>
      <c r="AK10" s="6"/>
      <c r="AL10" s="26"/>
      <c r="AM10" s="6"/>
      <c r="AN10" s="10"/>
      <c r="AO10" s="6"/>
      <c r="AP10" s="26"/>
      <c r="AQ10" s="6">
        <v>1</v>
      </c>
      <c r="AR10" s="6"/>
      <c r="AS10" s="6"/>
      <c r="AT10" s="6"/>
      <c r="AU10" s="6"/>
      <c r="AV10" s="6"/>
      <c r="AW10" s="26">
        <v>1</v>
      </c>
      <c r="AX10" s="26"/>
      <c r="AY10" s="27"/>
      <c r="AZ10" s="6"/>
      <c r="BA10" s="28"/>
      <c r="BB10" s="6"/>
      <c r="BC10" s="6"/>
      <c r="BD10" s="115"/>
      <c r="BE10" s="10"/>
      <c r="BF10" s="6"/>
      <c r="BG10" s="6"/>
      <c r="BH10" s="26"/>
      <c r="BI10" s="26"/>
      <c r="BJ10" s="26"/>
      <c r="BK10" s="10"/>
      <c r="BL10" s="25"/>
      <c r="BM10" s="26"/>
      <c r="BN10" s="10"/>
      <c r="BO10" s="6"/>
      <c r="BP10" s="6"/>
      <c r="BQ10" s="6"/>
      <c r="BR10" s="26"/>
      <c r="BS10" s="10"/>
      <c r="BT10" s="26"/>
      <c r="BU10" s="3"/>
    </row>
    <row r="11" spans="1:288" ht="33" customHeight="1" x14ac:dyDescent="0.5">
      <c r="A11" s="10" t="s">
        <v>29</v>
      </c>
      <c r="B11" s="9" t="s">
        <v>26</v>
      </c>
      <c r="C11" s="6">
        <v>1909</v>
      </c>
      <c r="D11" s="48" t="s">
        <v>0</v>
      </c>
      <c r="E11" s="99" t="s">
        <v>89</v>
      </c>
      <c r="F11" s="83" t="s">
        <v>102</v>
      </c>
      <c r="G11" s="26">
        <v>1</v>
      </c>
      <c r="H11" s="115"/>
      <c r="I11" s="83" t="s">
        <v>65</v>
      </c>
      <c r="J11" s="25">
        <v>34</v>
      </c>
      <c r="K11" s="115"/>
      <c r="L11" s="27">
        <v>17</v>
      </c>
      <c r="M11" s="10">
        <v>16</v>
      </c>
      <c r="N11" s="6">
        <v>2</v>
      </c>
      <c r="O11" s="26"/>
      <c r="P11" s="27">
        <v>14</v>
      </c>
      <c r="Q11" s="115"/>
      <c r="R11" s="58">
        <v>6</v>
      </c>
      <c r="S11" s="26">
        <v>1</v>
      </c>
      <c r="T11" s="115"/>
      <c r="U11" s="27"/>
      <c r="V11" s="58"/>
      <c r="W11" s="83" t="s">
        <v>65</v>
      </c>
      <c r="X11" s="10"/>
      <c r="Y11" s="6"/>
      <c r="Z11" s="79">
        <v>2</v>
      </c>
      <c r="AA11" s="6"/>
      <c r="AB11" s="6"/>
      <c r="AC11" s="6"/>
      <c r="AD11" s="26"/>
      <c r="AE11" s="10"/>
      <c r="AF11" s="28"/>
      <c r="AG11" s="28"/>
      <c r="AH11" s="6">
        <v>1</v>
      </c>
      <c r="AI11" s="6"/>
      <c r="AJ11" s="6"/>
      <c r="AK11" s="6"/>
      <c r="AL11" s="26">
        <v>1</v>
      </c>
      <c r="AM11" s="6"/>
      <c r="AN11" s="10"/>
      <c r="AO11" s="6"/>
      <c r="AP11" s="26"/>
      <c r="AQ11" s="6"/>
      <c r="AR11" s="6"/>
      <c r="AS11" s="6"/>
      <c r="AT11" s="6"/>
      <c r="AU11" s="6"/>
      <c r="AV11" s="6"/>
      <c r="AW11" s="26"/>
      <c r="AX11" s="26"/>
      <c r="AY11" s="27"/>
      <c r="AZ11" s="6"/>
      <c r="BA11" s="28"/>
      <c r="BB11" s="6"/>
      <c r="BC11" s="6"/>
      <c r="BD11" s="115"/>
      <c r="BE11" s="10"/>
      <c r="BF11" s="6"/>
      <c r="BG11" s="6"/>
      <c r="BH11" s="26"/>
      <c r="BI11" s="26"/>
      <c r="BJ11" s="26"/>
      <c r="BK11" s="10"/>
      <c r="BL11" s="25"/>
      <c r="BM11" s="26"/>
      <c r="BN11" s="10"/>
      <c r="BO11" s="64">
        <v>2</v>
      </c>
      <c r="BP11" s="6"/>
      <c r="BQ11" s="6"/>
      <c r="BR11" s="26"/>
      <c r="BS11" s="10"/>
      <c r="BT11" s="26"/>
      <c r="BU11" s="3"/>
    </row>
    <row r="12" spans="1:288" ht="37.799999999999997" customHeight="1" x14ac:dyDescent="0.5">
      <c r="A12" s="17" t="s">
        <v>74</v>
      </c>
      <c r="B12" s="4" t="s">
        <v>4</v>
      </c>
      <c r="C12" s="6">
        <v>1909</v>
      </c>
      <c r="D12" s="49" t="s">
        <v>1</v>
      </c>
      <c r="E12" s="99" t="s">
        <v>90</v>
      </c>
      <c r="F12" s="83" t="s">
        <v>62</v>
      </c>
      <c r="G12" s="26">
        <v>3</v>
      </c>
      <c r="H12" s="115"/>
      <c r="I12" s="83" t="s">
        <v>62</v>
      </c>
      <c r="J12" s="25"/>
      <c r="K12" s="116">
        <v>18</v>
      </c>
      <c r="L12" s="27">
        <v>12</v>
      </c>
      <c r="M12" s="10"/>
      <c r="N12" s="64">
        <v>12</v>
      </c>
      <c r="O12" s="26"/>
      <c r="P12" s="27">
        <v>9</v>
      </c>
      <c r="Q12" s="115"/>
      <c r="R12" s="71">
        <v>11</v>
      </c>
      <c r="S12" s="26"/>
      <c r="T12" s="115"/>
      <c r="U12" s="27"/>
      <c r="V12" s="58"/>
      <c r="W12" s="83" t="s">
        <v>62</v>
      </c>
      <c r="X12" s="10">
        <v>1</v>
      </c>
      <c r="Y12" s="6"/>
      <c r="Z12" s="6"/>
      <c r="AA12" s="6"/>
      <c r="AB12" s="6"/>
      <c r="AC12" s="6"/>
      <c r="AD12" s="26"/>
      <c r="AE12" s="10"/>
      <c r="AF12" s="28"/>
      <c r="AG12" s="28"/>
      <c r="AH12" s="6"/>
      <c r="AI12" s="6"/>
      <c r="AJ12" s="6"/>
      <c r="AK12" s="6"/>
      <c r="AL12" s="26"/>
      <c r="AM12" s="6"/>
      <c r="AN12" s="10"/>
      <c r="AO12" s="6"/>
      <c r="AP12" s="26"/>
      <c r="AQ12" s="6"/>
      <c r="AR12" s="6"/>
      <c r="AS12" s="6"/>
      <c r="AT12" s="6"/>
      <c r="AU12" s="6"/>
      <c r="AV12" s="6"/>
      <c r="AW12" s="26"/>
      <c r="AX12" s="26"/>
      <c r="AY12" s="27"/>
      <c r="AZ12" s="6"/>
      <c r="BA12" s="28"/>
      <c r="BB12" s="6"/>
      <c r="BC12" s="6"/>
      <c r="BD12" s="115"/>
      <c r="BE12" s="10"/>
      <c r="BF12" s="6"/>
      <c r="BG12" s="29"/>
      <c r="BH12" s="26"/>
      <c r="BI12" s="26"/>
      <c r="BJ12" s="26"/>
      <c r="BK12" s="10"/>
      <c r="BL12" s="25"/>
      <c r="BM12" s="26"/>
      <c r="BN12" s="10"/>
      <c r="BO12" s="6"/>
      <c r="BP12" s="6"/>
      <c r="BQ12" s="6"/>
      <c r="BR12" s="26"/>
      <c r="BS12" s="10"/>
      <c r="BT12" s="26"/>
      <c r="BU12" s="3"/>
    </row>
    <row r="13" spans="1:288" ht="33" customHeight="1" thickBot="1" x14ac:dyDescent="0.55000000000000004">
      <c r="A13" s="6" t="s">
        <v>24</v>
      </c>
      <c r="B13" s="4" t="s">
        <v>5</v>
      </c>
      <c r="C13" s="5">
        <v>1910</v>
      </c>
      <c r="D13" s="48" t="s">
        <v>0</v>
      </c>
      <c r="E13" s="99" t="s">
        <v>91</v>
      </c>
      <c r="F13" s="83" t="s">
        <v>102</v>
      </c>
      <c r="G13" s="26"/>
      <c r="H13" s="116">
        <v>13</v>
      </c>
      <c r="I13" s="83" t="s">
        <v>66</v>
      </c>
      <c r="J13" s="25">
        <v>11</v>
      </c>
      <c r="K13" s="115">
        <v>1</v>
      </c>
      <c r="L13" s="27">
        <v>3</v>
      </c>
      <c r="M13" s="10"/>
      <c r="N13" s="6"/>
      <c r="O13" s="53">
        <v>6</v>
      </c>
      <c r="P13" s="27"/>
      <c r="Q13" s="116">
        <v>4</v>
      </c>
      <c r="R13" s="58">
        <v>2</v>
      </c>
      <c r="S13" s="73">
        <v>5</v>
      </c>
      <c r="T13" s="115"/>
      <c r="U13" s="27">
        <v>1</v>
      </c>
      <c r="V13" s="58"/>
      <c r="W13" s="83" t="s">
        <v>66</v>
      </c>
      <c r="X13" s="10">
        <v>11</v>
      </c>
      <c r="Y13" s="6"/>
      <c r="Z13" s="6"/>
      <c r="AA13" s="6"/>
      <c r="AB13" s="6"/>
      <c r="AC13" s="6"/>
      <c r="AD13" s="26"/>
      <c r="AE13" s="10"/>
      <c r="AF13" s="78">
        <v>8</v>
      </c>
      <c r="AG13" s="28"/>
      <c r="AH13" s="6"/>
      <c r="AI13" s="6">
        <v>1</v>
      </c>
      <c r="AJ13" s="6">
        <v>1</v>
      </c>
      <c r="AK13" s="6"/>
      <c r="AL13" s="26"/>
      <c r="AM13" s="6"/>
      <c r="AN13" s="10">
        <v>2</v>
      </c>
      <c r="AO13" s="6">
        <v>1</v>
      </c>
      <c r="AP13" s="26"/>
      <c r="AQ13" s="6"/>
      <c r="AR13" s="6"/>
      <c r="AS13" s="6"/>
      <c r="AT13" s="6"/>
      <c r="AU13" s="6">
        <v>1</v>
      </c>
      <c r="AV13" s="6"/>
      <c r="AW13" s="26"/>
      <c r="AX13" s="26"/>
      <c r="AY13" s="55">
        <v>14</v>
      </c>
      <c r="AZ13" s="6"/>
      <c r="BA13" s="28"/>
      <c r="BB13" s="6"/>
      <c r="BC13" s="6"/>
      <c r="BD13" s="115">
        <v>1</v>
      </c>
      <c r="BE13" s="10"/>
      <c r="BF13" s="6"/>
      <c r="BG13" s="6">
        <v>1</v>
      </c>
      <c r="BH13" s="26">
        <v>1</v>
      </c>
      <c r="BI13" s="26"/>
      <c r="BJ13" s="26"/>
      <c r="BK13" s="10"/>
      <c r="BL13" s="25"/>
      <c r="BM13" s="26"/>
      <c r="BN13" s="10"/>
      <c r="BO13" s="6"/>
      <c r="BP13" s="64">
        <v>2</v>
      </c>
      <c r="BQ13" s="6"/>
      <c r="BR13" s="26"/>
      <c r="BS13" s="10"/>
      <c r="BT13" s="26">
        <v>1</v>
      </c>
      <c r="BU13" s="3"/>
    </row>
    <row r="14" spans="1:288" s="7" customFormat="1" ht="30" customHeight="1" thickBot="1" x14ac:dyDescent="0.55000000000000004">
      <c r="A14" s="20" t="s">
        <v>76</v>
      </c>
      <c r="B14" s="12" t="s">
        <v>31</v>
      </c>
      <c r="C14" s="13">
        <v>1910</v>
      </c>
      <c r="D14" s="50" t="s">
        <v>30</v>
      </c>
      <c r="E14" s="99" t="s">
        <v>92</v>
      </c>
      <c r="F14" s="84"/>
      <c r="G14" s="31">
        <v>8</v>
      </c>
      <c r="H14" s="24"/>
      <c r="I14" s="84" t="s">
        <v>67</v>
      </c>
      <c r="J14" s="30">
        <v>54</v>
      </c>
      <c r="K14" s="24">
        <v>2</v>
      </c>
      <c r="L14" s="32">
        <v>14</v>
      </c>
      <c r="M14" s="11">
        <v>8</v>
      </c>
      <c r="N14" s="33"/>
      <c r="O14" s="31"/>
      <c r="P14" s="32">
        <v>17</v>
      </c>
      <c r="Q14" s="24">
        <v>1</v>
      </c>
      <c r="R14" s="59"/>
      <c r="S14" s="31"/>
      <c r="T14" s="24"/>
      <c r="U14" s="32"/>
      <c r="V14" s="59"/>
      <c r="W14" s="84" t="s">
        <v>67</v>
      </c>
      <c r="X14" s="11">
        <v>1</v>
      </c>
      <c r="Y14" s="33">
        <v>1</v>
      </c>
      <c r="Z14" s="37"/>
      <c r="AA14" s="37"/>
      <c r="AB14" s="37"/>
      <c r="AC14" s="37"/>
      <c r="AD14" s="38"/>
      <c r="AE14" s="11"/>
      <c r="AF14" s="34">
        <v>1</v>
      </c>
      <c r="AG14" s="34">
        <v>1</v>
      </c>
      <c r="AH14" s="33"/>
      <c r="AI14" s="33"/>
      <c r="AJ14" s="37"/>
      <c r="AK14" s="33"/>
      <c r="AL14" s="38">
        <v>1</v>
      </c>
      <c r="AM14" s="37"/>
      <c r="AN14" s="11"/>
      <c r="AO14" s="33"/>
      <c r="AP14" s="31">
        <v>1</v>
      </c>
      <c r="AQ14" s="33"/>
      <c r="AR14" s="33"/>
      <c r="AS14" s="37"/>
      <c r="AT14" s="37"/>
      <c r="AU14" s="37"/>
      <c r="AV14" s="37"/>
      <c r="AW14" s="38"/>
      <c r="AX14" s="38"/>
      <c r="AY14" s="32"/>
      <c r="AZ14" s="33"/>
      <c r="BA14" s="34"/>
      <c r="BB14" s="37"/>
      <c r="BC14" s="37"/>
      <c r="BD14" s="24"/>
      <c r="BE14" s="11"/>
      <c r="BF14" s="37"/>
      <c r="BG14" s="33"/>
      <c r="BH14" s="38"/>
      <c r="BI14" s="38"/>
      <c r="BJ14" s="38"/>
      <c r="BK14" s="11"/>
      <c r="BL14" s="33"/>
      <c r="BM14" s="38"/>
      <c r="BN14" s="11"/>
      <c r="BO14" s="33"/>
      <c r="BP14" s="37"/>
      <c r="BQ14" s="33"/>
      <c r="BR14" s="38"/>
      <c r="BS14" s="39"/>
      <c r="BT14" s="38"/>
      <c r="BU14" s="3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</row>
    <row r="15" spans="1:288" ht="31.2" customHeight="1" thickTop="1" x14ac:dyDescent="0.5">
      <c r="A15" s="18" t="s">
        <v>77</v>
      </c>
      <c r="B15" s="19" t="s">
        <v>6</v>
      </c>
      <c r="C15" s="19">
        <v>1911</v>
      </c>
      <c r="D15" s="51" t="s">
        <v>0</v>
      </c>
      <c r="E15" s="99" t="s">
        <v>93</v>
      </c>
      <c r="F15" s="85"/>
      <c r="G15" s="36">
        <v>13</v>
      </c>
      <c r="H15" s="117"/>
      <c r="I15" s="85" t="s">
        <v>68</v>
      </c>
      <c r="J15" s="40">
        <v>25</v>
      </c>
      <c r="K15" s="117"/>
      <c r="L15" s="41">
        <v>11</v>
      </c>
      <c r="M15" s="18"/>
      <c r="N15" s="89">
        <v>11</v>
      </c>
      <c r="O15" s="36"/>
      <c r="P15" s="41"/>
      <c r="Q15" s="117"/>
      <c r="R15" s="61">
        <v>2</v>
      </c>
      <c r="S15" s="63">
        <v>9</v>
      </c>
      <c r="T15" s="117"/>
      <c r="U15" s="41"/>
      <c r="V15" s="61"/>
      <c r="W15" s="85" t="s">
        <v>68</v>
      </c>
      <c r="X15" s="18">
        <v>7</v>
      </c>
      <c r="Y15" s="29">
        <v>2</v>
      </c>
      <c r="Z15" s="21"/>
      <c r="AA15" s="21"/>
      <c r="AB15" s="21"/>
      <c r="AC15" s="21"/>
      <c r="AD15" s="22"/>
      <c r="AE15" s="18">
        <v>6</v>
      </c>
      <c r="AF15" s="42"/>
      <c r="AG15" s="42"/>
      <c r="AH15" s="29">
        <v>1</v>
      </c>
      <c r="AI15" s="29"/>
      <c r="AJ15" s="21"/>
      <c r="AK15" s="29"/>
      <c r="AL15" s="22"/>
      <c r="AM15" s="21"/>
      <c r="AN15" s="18"/>
      <c r="AO15" s="29">
        <v>2</v>
      </c>
      <c r="AP15" s="36"/>
      <c r="AQ15" s="29"/>
      <c r="AR15" s="29"/>
      <c r="AS15" s="21"/>
      <c r="AT15" s="21"/>
      <c r="AU15" s="21"/>
      <c r="AV15" s="21"/>
      <c r="AW15" s="22"/>
      <c r="AX15" s="22"/>
      <c r="AY15" s="41"/>
      <c r="AZ15" s="29"/>
      <c r="BA15" s="42"/>
      <c r="BB15" s="21"/>
      <c r="BC15" s="21"/>
      <c r="BD15" s="117"/>
      <c r="BE15" s="18"/>
      <c r="BF15" s="21">
        <v>1</v>
      </c>
      <c r="BG15" s="21">
        <v>1</v>
      </c>
      <c r="BH15" s="22"/>
      <c r="BI15" s="22"/>
      <c r="BJ15" s="22">
        <v>1</v>
      </c>
      <c r="BK15" s="18"/>
      <c r="BL15" s="40"/>
      <c r="BM15" s="22"/>
      <c r="BN15" s="18"/>
      <c r="BO15" s="29">
        <v>1</v>
      </c>
      <c r="BP15" s="21"/>
      <c r="BQ15" s="29"/>
      <c r="BR15" s="22"/>
      <c r="BS15" s="14"/>
      <c r="BT15" s="22"/>
      <c r="BU15" s="3"/>
    </row>
    <row r="16" spans="1:288" ht="31.2" customHeight="1" x14ac:dyDescent="0.5">
      <c r="A16" s="10" t="s">
        <v>25</v>
      </c>
      <c r="B16" s="4" t="s">
        <v>7</v>
      </c>
      <c r="C16" s="5">
        <v>1912</v>
      </c>
      <c r="D16" s="48" t="s">
        <v>0</v>
      </c>
      <c r="E16" s="99" t="s">
        <v>94</v>
      </c>
      <c r="F16" s="83"/>
      <c r="G16" s="26">
        <v>5</v>
      </c>
      <c r="H16" s="115"/>
      <c r="I16" s="83" t="s">
        <v>69</v>
      </c>
      <c r="J16" s="25">
        <v>30</v>
      </c>
      <c r="K16" s="115">
        <v>1</v>
      </c>
      <c r="L16" s="27">
        <v>15</v>
      </c>
      <c r="M16" s="10">
        <v>12</v>
      </c>
      <c r="N16" s="6"/>
      <c r="O16" s="26"/>
      <c r="P16" s="27"/>
      <c r="Q16" s="115"/>
      <c r="R16" s="58">
        <v>1</v>
      </c>
      <c r="S16" s="26"/>
      <c r="T16" s="115"/>
      <c r="U16" s="27"/>
      <c r="V16" s="58"/>
      <c r="W16" s="83"/>
      <c r="X16" s="10"/>
      <c r="Y16" s="6"/>
      <c r="Z16" s="6"/>
      <c r="AA16" s="6"/>
      <c r="AB16" s="6"/>
      <c r="AC16" s="6"/>
      <c r="AD16" s="26"/>
      <c r="AE16" s="10"/>
      <c r="AF16" s="28"/>
      <c r="AG16" s="28"/>
      <c r="AH16" s="6"/>
      <c r="AI16" s="6"/>
      <c r="AJ16" s="6"/>
      <c r="AK16" s="6"/>
      <c r="AL16" s="26"/>
      <c r="AM16" s="6"/>
      <c r="AN16" s="10"/>
      <c r="AO16" s="6"/>
      <c r="AP16" s="26"/>
      <c r="AQ16" s="6"/>
      <c r="AR16" s="6"/>
      <c r="AS16" s="6"/>
      <c r="AT16" s="6"/>
      <c r="AU16" s="6"/>
      <c r="AV16" s="6"/>
      <c r="AW16" s="26"/>
      <c r="AX16" s="26"/>
      <c r="AY16" s="27"/>
      <c r="AZ16" s="6"/>
      <c r="BA16" s="28"/>
      <c r="BB16" s="6"/>
      <c r="BC16" s="6"/>
      <c r="BD16" s="115"/>
      <c r="BE16" s="10"/>
      <c r="BF16" s="6"/>
      <c r="BG16" s="6"/>
      <c r="BH16" s="26"/>
      <c r="BI16" s="26"/>
      <c r="BJ16" s="26"/>
      <c r="BK16" s="10"/>
      <c r="BL16" s="25"/>
      <c r="BM16" s="26"/>
      <c r="BN16" s="10"/>
      <c r="BO16" s="6"/>
      <c r="BP16" s="6"/>
      <c r="BQ16" s="6"/>
      <c r="BR16" s="26"/>
      <c r="BS16" s="10"/>
      <c r="BT16" s="26"/>
      <c r="BU16" s="3"/>
    </row>
    <row r="17" spans="1:288" ht="35.4" customHeight="1" x14ac:dyDescent="0.5">
      <c r="A17" s="10" t="s">
        <v>78</v>
      </c>
      <c r="B17" s="4" t="s">
        <v>8</v>
      </c>
      <c r="C17" s="5">
        <v>1913</v>
      </c>
      <c r="D17" s="48" t="s">
        <v>0</v>
      </c>
      <c r="E17" s="99" t="s">
        <v>95</v>
      </c>
      <c r="F17" s="82"/>
      <c r="G17" s="26">
        <v>12</v>
      </c>
      <c r="H17" s="115"/>
      <c r="I17" s="82"/>
      <c r="J17" s="54">
        <v>97</v>
      </c>
      <c r="K17" s="115">
        <v>1</v>
      </c>
      <c r="L17" s="27">
        <v>30</v>
      </c>
      <c r="M17" s="67">
        <v>48</v>
      </c>
      <c r="N17" s="6"/>
      <c r="O17" s="26"/>
      <c r="P17" s="27">
        <v>5</v>
      </c>
      <c r="Q17" s="115"/>
      <c r="R17" s="58">
        <v>4</v>
      </c>
      <c r="S17" s="26"/>
      <c r="T17" s="115"/>
      <c r="U17" s="27"/>
      <c r="V17" s="58"/>
      <c r="W17" s="82"/>
      <c r="X17" s="67">
        <v>26</v>
      </c>
      <c r="Y17" s="79">
        <v>5</v>
      </c>
      <c r="Z17" s="6"/>
      <c r="AA17" s="6"/>
      <c r="AB17" s="6"/>
      <c r="AC17" s="6"/>
      <c r="AD17" s="26"/>
      <c r="AE17" s="56">
        <v>19</v>
      </c>
      <c r="AF17" s="28"/>
      <c r="AG17" s="28"/>
      <c r="AH17" s="64">
        <v>15</v>
      </c>
      <c r="AI17" s="6"/>
      <c r="AJ17" s="6"/>
      <c r="AK17" s="6"/>
      <c r="AL17" s="26"/>
      <c r="AM17" s="6"/>
      <c r="AN17" s="10"/>
      <c r="AO17" s="6"/>
      <c r="AP17" s="26"/>
      <c r="AQ17" s="6"/>
      <c r="AR17" s="6"/>
      <c r="AS17" s="6"/>
      <c r="AT17" s="6"/>
      <c r="AU17" s="6"/>
      <c r="AV17" s="6"/>
      <c r="AW17" s="26"/>
      <c r="AX17" s="26"/>
      <c r="AY17" s="27"/>
      <c r="AZ17" s="6"/>
      <c r="BA17" s="28"/>
      <c r="BB17" s="6"/>
      <c r="BC17" s="6"/>
      <c r="BD17" s="115"/>
      <c r="BE17" s="10"/>
      <c r="BF17" s="6"/>
      <c r="BG17" s="6"/>
      <c r="BH17" s="26"/>
      <c r="BI17" s="26"/>
      <c r="BJ17" s="26"/>
      <c r="BK17" s="10"/>
      <c r="BL17" s="25"/>
      <c r="BM17" s="26"/>
      <c r="BN17" s="10"/>
      <c r="BO17" s="6"/>
      <c r="BP17" s="6"/>
      <c r="BQ17" s="6"/>
      <c r="BR17" s="26"/>
      <c r="BS17" s="56">
        <v>3</v>
      </c>
      <c r="BT17" s="26"/>
      <c r="BU17" s="3"/>
    </row>
    <row r="18" spans="1:288" s="8" customFormat="1" ht="42" customHeight="1" thickBot="1" x14ac:dyDescent="0.55000000000000004">
      <c r="A18" s="11" t="s">
        <v>20</v>
      </c>
      <c r="B18" s="12" t="s">
        <v>9</v>
      </c>
      <c r="C18" s="13">
        <v>1914</v>
      </c>
      <c r="D18" s="46" t="s">
        <v>1</v>
      </c>
      <c r="E18" s="100" t="s">
        <v>96</v>
      </c>
      <c r="F18" s="86"/>
      <c r="G18" s="31">
        <v>1</v>
      </c>
      <c r="H18" s="24"/>
      <c r="I18" s="86"/>
      <c r="J18" s="30">
        <v>35</v>
      </c>
      <c r="K18" s="24">
        <v>1</v>
      </c>
      <c r="L18" s="80">
        <v>43</v>
      </c>
      <c r="M18" s="11">
        <v>29</v>
      </c>
      <c r="N18" s="33">
        <v>1</v>
      </c>
      <c r="O18" s="31"/>
      <c r="P18" s="80">
        <v>18</v>
      </c>
      <c r="Q18" s="24"/>
      <c r="R18" s="59"/>
      <c r="S18" s="31"/>
      <c r="T18" s="24"/>
      <c r="U18" s="32"/>
      <c r="V18" s="59"/>
      <c r="W18" s="86"/>
      <c r="X18" s="87">
        <v>24</v>
      </c>
      <c r="Y18" s="88">
        <v>9</v>
      </c>
      <c r="Z18" s="33"/>
      <c r="AA18" s="33"/>
      <c r="AB18" s="33"/>
      <c r="AC18" s="33"/>
      <c r="AD18" s="31"/>
      <c r="AE18" s="87">
        <v>13</v>
      </c>
      <c r="AF18" s="90">
        <v>5</v>
      </c>
      <c r="AG18" s="34">
        <v>1</v>
      </c>
      <c r="AH18" s="33"/>
      <c r="AI18" s="33"/>
      <c r="AJ18" s="33"/>
      <c r="AK18" s="33"/>
      <c r="AL18" s="31"/>
      <c r="AM18" s="33"/>
      <c r="AN18" s="11"/>
      <c r="AO18" s="33"/>
      <c r="AP18" s="31"/>
      <c r="AQ18" s="88">
        <v>4</v>
      </c>
      <c r="AR18" s="33"/>
      <c r="AS18" s="33"/>
      <c r="AT18" s="33"/>
      <c r="AU18" s="33"/>
      <c r="AV18" s="33"/>
      <c r="AW18" s="31"/>
      <c r="AX18" s="31"/>
      <c r="AY18" s="32"/>
      <c r="AZ18" s="33"/>
      <c r="BA18" s="34"/>
      <c r="BB18" s="33"/>
      <c r="BC18" s="33"/>
      <c r="BD18" s="24"/>
      <c r="BE18" s="94">
        <v>8</v>
      </c>
      <c r="BF18" s="33"/>
      <c r="BG18" s="33"/>
      <c r="BH18" s="31"/>
      <c r="BI18" s="31"/>
      <c r="BJ18" s="31"/>
      <c r="BK18" s="11"/>
      <c r="BL18" s="30"/>
      <c r="BM18" s="31"/>
      <c r="BN18" s="11"/>
      <c r="BO18" s="33"/>
      <c r="BP18" s="33"/>
      <c r="BQ18" s="33"/>
      <c r="BR18" s="31"/>
      <c r="BS18" s="11"/>
      <c r="BT18" s="31"/>
      <c r="BU18" s="3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</row>
    <row r="19" spans="1:288" ht="43.2" customHeight="1" thickTop="1" thickBot="1" x14ac:dyDescent="0.35">
      <c r="A19" s="210" t="s">
        <v>157</v>
      </c>
      <c r="B19" s="210"/>
      <c r="C19" s="210"/>
      <c r="D19" s="211"/>
      <c r="E19" s="141" t="s">
        <v>80</v>
      </c>
      <c r="F19" s="125" t="s">
        <v>79</v>
      </c>
      <c r="G19" s="102">
        <f>SUM(G4:G18)</f>
        <v>179</v>
      </c>
      <c r="H19" s="118">
        <f>SUM(H4:H18)</f>
        <v>15</v>
      </c>
      <c r="I19" s="125" t="s">
        <v>79</v>
      </c>
      <c r="J19" s="102">
        <f>SUM(J4:J18)</f>
        <v>670</v>
      </c>
      <c r="K19" s="118">
        <f>SUM(K4:K18)</f>
        <v>31</v>
      </c>
      <c r="L19" s="103">
        <f t="shared" ref="L19:BT19" si="0">SUM(L4:L18)</f>
        <v>383</v>
      </c>
      <c r="M19" s="101">
        <f t="shared" ref="M19" si="1">SUM(M4:M18)</f>
        <v>270</v>
      </c>
      <c r="N19" s="104">
        <f t="shared" ref="N19" si="2">SUM(N4:N18)</f>
        <v>36</v>
      </c>
      <c r="O19" s="102">
        <f t="shared" si="0"/>
        <v>6</v>
      </c>
      <c r="P19" s="103">
        <f t="shared" ref="P19" si="3">SUM(P4:P18)</f>
        <v>147</v>
      </c>
      <c r="Q19" s="118">
        <f t="shared" ref="Q19" si="4">SUM(Q4:Q18)</f>
        <v>5</v>
      </c>
      <c r="R19" s="144">
        <f t="shared" si="0"/>
        <v>77</v>
      </c>
      <c r="S19" s="102">
        <f t="shared" ref="S19" si="5">SUM(S4:S18)</f>
        <v>27</v>
      </c>
      <c r="T19" s="118">
        <f t="shared" ref="T19" si="6">SUM(T4:T18)</f>
        <v>5</v>
      </c>
      <c r="U19" s="144">
        <f t="shared" si="0"/>
        <v>11</v>
      </c>
      <c r="V19" s="144">
        <f t="shared" si="0"/>
        <v>9</v>
      </c>
      <c r="W19" s="125" t="s">
        <v>79</v>
      </c>
      <c r="X19" s="101">
        <f t="shared" si="0"/>
        <v>159</v>
      </c>
      <c r="Y19" s="104">
        <f t="shared" si="0"/>
        <v>24</v>
      </c>
      <c r="Z19" s="104">
        <f t="shared" si="0"/>
        <v>3</v>
      </c>
      <c r="AA19" s="104">
        <f t="shared" si="0"/>
        <v>2</v>
      </c>
      <c r="AB19" s="104">
        <f t="shared" si="0"/>
        <v>1</v>
      </c>
      <c r="AC19" s="104">
        <f t="shared" si="0"/>
        <v>1</v>
      </c>
      <c r="AD19" s="102">
        <f t="shared" si="0"/>
        <v>1</v>
      </c>
      <c r="AE19" s="103">
        <f t="shared" si="0"/>
        <v>69</v>
      </c>
      <c r="AF19" s="104">
        <f t="shared" si="0"/>
        <v>38</v>
      </c>
      <c r="AG19" s="104">
        <f t="shared" si="0"/>
        <v>3</v>
      </c>
      <c r="AH19" s="104">
        <f t="shared" si="0"/>
        <v>21</v>
      </c>
      <c r="AI19" s="104">
        <f t="shared" ref="AI19:AJ19" si="7">SUM(AI4:AI18)</f>
        <v>5</v>
      </c>
      <c r="AJ19" s="104">
        <f t="shared" si="7"/>
        <v>3</v>
      </c>
      <c r="AK19" s="104">
        <f t="shared" si="0"/>
        <v>2</v>
      </c>
      <c r="AL19" s="102">
        <f t="shared" ref="AL19" si="8">SUM(AL4:AL18)</f>
        <v>2</v>
      </c>
      <c r="AM19" s="104">
        <f t="shared" si="0"/>
        <v>1</v>
      </c>
      <c r="AN19" s="101">
        <f t="shared" si="0"/>
        <v>16</v>
      </c>
      <c r="AO19" s="104">
        <f t="shared" si="0"/>
        <v>13</v>
      </c>
      <c r="AP19" s="104">
        <f t="shared" si="0"/>
        <v>11</v>
      </c>
      <c r="AQ19" s="104">
        <f t="shared" si="0"/>
        <v>7</v>
      </c>
      <c r="AR19" s="104">
        <f t="shared" si="0"/>
        <v>4</v>
      </c>
      <c r="AS19" s="104">
        <f t="shared" si="0"/>
        <v>2</v>
      </c>
      <c r="AT19" s="104">
        <f t="shared" si="0"/>
        <v>1</v>
      </c>
      <c r="AU19" s="104">
        <f t="shared" si="0"/>
        <v>1</v>
      </c>
      <c r="AV19" s="104">
        <f t="shared" ref="AV19" si="9">SUM(AV4:AV18)</f>
        <v>1</v>
      </c>
      <c r="AW19" s="104">
        <f t="shared" si="0"/>
        <v>1</v>
      </c>
      <c r="AX19" s="102">
        <f t="shared" si="0"/>
        <v>1</v>
      </c>
      <c r="AY19" s="103">
        <f t="shared" ref="AY19" si="10">SUM(AY4:AY18)</f>
        <v>14</v>
      </c>
      <c r="AZ19" s="104">
        <f t="shared" si="0"/>
        <v>9</v>
      </c>
      <c r="BA19" s="104">
        <f t="shared" si="0"/>
        <v>5</v>
      </c>
      <c r="BB19" s="104">
        <f t="shared" si="0"/>
        <v>2</v>
      </c>
      <c r="BC19" s="104">
        <f t="shared" si="0"/>
        <v>1</v>
      </c>
      <c r="BD19" s="118">
        <f t="shared" si="0"/>
        <v>1</v>
      </c>
      <c r="BE19" s="101">
        <f t="shared" si="0"/>
        <v>9</v>
      </c>
      <c r="BF19" s="104">
        <f t="shared" ref="BF19" si="11">SUM(BF4:BF18)</f>
        <v>3</v>
      </c>
      <c r="BG19" s="104">
        <f t="shared" si="0"/>
        <v>2</v>
      </c>
      <c r="BH19" s="104">
        <f t="shared" ref="BH19" si="12">SUM(BH4:BH18)</f>
        <v>1</v>
      </c>
      <c r="BI19" s="104">
        <f t="shared" si="0"/>
        <v>1</v>
      </c>
      <c r="BJ19" s="102">
        <f t="shared" si="0"/>
        <v>1</v>
      </c>
      <c r="BK19" s="103">
        <f t="shared" si="0"/>
        <v>7</v>
      </c>
      <c r="BL19" s="104">
        <f t="shared" si="0"/>
        <v>2</v>
      </c>
      <c r="BM19" s="102">
        <f t="shared" si="0"/>
        <v>1</v>
      </c>
      <c r="BN19" s="101">
        <f t="shared" si="0"/>
        <v>5</v>
      </c>
      <c r="BO19" s="104">
        <f t="shared" si="0"/>
        <v>5</v>
      </c>
      <c r="BP19" s="104">
        <f t="shared" si="0"/>
        <v>3</v>
      </c>
      <c r="BQ19" s="104">
        <f t="shared" si="0"/>
        <v>2</v>
      </c>
      <c r="BR19" s="102">
        <f t="shared" si="0"/>
        <v>2</v>
      </c>
      <c r="BS19" s="101">
        <f t="shared" si="0"/>
        <v>3</v>
      </c>
      <c r="BT19" s="102">
        <f t="shared" si="0"/>
        <v>1</v>
      </c>
      <c r="BU19" s="3"/>
    </row>
    <row r="20" spans="1:288" ht="22.8" customHeight="1" thickTop="1" x14ac:dyDescent="0.3">
      <c r="A20" s="212" t="s">
        <v>158</v>
      </c>
      <c r="B20" s="212"/>
      <c r="C20" s="212"/>
      <c r="D20" s="213"/>
      <c r="E20" s="142"/>
      <c r="F20" s="138" t="s">
        <v>55</v>
      </c>
      <c r="G20" s="153">
        <v>194</v>
      </c>
      <c r="H20" s="154"/>
      <c r="I20" s="138" t="s">
        <v>55</v>
      </c>
      <c r="J20" s="147">
        <v>701</v>
      </c>
      <c r="K20" s="148"/>
      <c r="L20" s="147">
        <v>383</v>
      </c>
      <c r="M20" s="147">
        <v>312</v>
      </c>
      <c r="N20" s="148"/>
      <c r="O20" s="148"/>
      <c r="P20" s="147">
        <v>152</v>
      </c>
      <c r="Q20" s="148"/>
      <c r="R20" s="145"/>
      <c r="S20" s="147">
        <v>32</v>
      </c>
      <c r="T20" s="148"/>
      <c r="U20" s="145"/>
      <c r="V20" s="145"/>
      <c r="W20" s="138" t="s">
        <v>55</v>
      </c>
      <c r="X20" s="126" t="s">
        <v>59</v>
      </c>
      <c r="Y20" s="127"/>
      <c r="Z20" s="127"/>
      <c r="AA20" s="127"/>
      <c r="AB20" s="127"/>
      <c r="AC20" s="127"/>
      <c r="AD20" s="127"/>
      <c r="AE20" s="126" t="s">
        <v>60</v>
      </c>
      <c r="AF20" s="127"/>
      <c r="AG20" s="127"/>
      <c r="AH20" s="127"/>
      <c r="AI20" s="127"/>
      <c r="AJ20" s="127"/>
      <c r="AK20" s="127"/>
      <c r="AL20" s="127"/>
      <c r="AM20" s="127"/>
      <c r="AN20" s="126" t="s">
        <v>58</v>
      </c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6" t="s">
        <v>54</v>
      </c>
      <c r="AZ20" s="127"/>
      <c r="BA20" s="127"/>
      <c r="BB20" s="127"/>
      <c r="BC20" s="127"/>
      <c r="BD20" s="128"/>
      <c r="BE20" s="126" t="s">
        <v>50</v>
      </c>
      <c r="BF20" s="127"/>
      <c r="BG20" s="127"/>
      <c r="BH20" s="127"/>
      <c r="BI20" s="127"/>
      <c r="BJ20" s="127"/>
      <c r="BK20" s="170" t="s">
        <v>51</v>
      </c>
      <c r="BL20" s="171"/>
      <c r="BM20" s="171"/>
      <c r="BN20" s="170" t="s">
        <v>52</v>
      </c>
      <c r="BO20" s="171"/>
      <c r="BP20" s="171"/>
      <c r="BQ20" s="171"/>
      <c r="BR20" s="171"/>
      <c r="BS20" s="153" t="s">
        <v>53</v>
      </c>
      <c r="BT20" s="154"/>
      <c r="BU20" s="3"/>
    </row>
    <row r="21" spans="1:288" ht="21" customHeight="1" x14ac:dyDescent="0.3">
      <c r="A21" s="196"/>
      <c r="B21" s="196"/>
      <c r="C21" s="196"/>
      <c r="D21" s="197"/>
      <c r="E21" s="142"/>
      <c r="F21" s="139"/>
      <c r="G21" s="155"/>
      <c r="H21" s="156"/>
      <c r="I21" s="139"/>
      <c r="J21" s="149"/>
      <c r="K21" s="150"/>
      <c r="L21" s="149"/>
      <c r="M21" s="149"/>
      <c r="N21" s="150"/>
      <c r="O21" s="150"/>
      <c r="P21" s="149"/>
      <c r="Q21" s="150"/>
      <c r="R21" s="145"/>
      <c r="S21" s="149"/>
      <c r="T21" s="150"/>
      <c r="U21" s="145"/>
      <c r="V21" s="145"/>
      <c r="W21" s="139"/>
      <c r="X21" s="129"/>
      <c r="Y21" s="130"/>
      <c r="Z21" s="130"/>
      <c r="AA21" s="130"/>
      <c r="AB21" s="130"/>
      <c r="AC21" s="130"/>
      <c r="AD21" s="130"/>
      <c r="AE21" s="129"/>
      <c r="AF21" s="130"/>
      <c r="AG21" s="130"/>
      <c r="AH21" s="130"/>
      <c r="AI21" s="130"/>
      <c r="AJ21" s="130"/>
      <c r="AK21" s="130"/>
      <c r="AL21" s="130"/>
      <c r="AM21" s="130"/>
      <c r="AN21" s="129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29"/>
      <c r="AZ21" s="130"/>
      <c r="BA21" s="130"/>
      <c r="BB21" s="130"/>
      <c r="BC21" s="130"/>
      <c r="BD21" s="131"/>
      <c r="BE21" s="129"/>
      <c r="BF21" s="130"/>
      <c r="BG21" s="130"/>
      <c r="BH21" s="130"/>
      <c r="BI21" s="130"/>
      <c r="BJ21" s="130"/>
      <c r="BK21" s="172"/>
      <c r="BL21" s="173"/>
      <c r="BM21" s="173"/>
      <c r="BN21" s="172"/>
      <c r="BO21" s="173"/>
      <c r="BP21" s="173"/>
      <c r="BQ21" s="173"/>
      <c r="BR21" s="173"/>
      <c r="BS21" s="155"/>
      <c r="BT21" s="156"/>
      <c r="BU21" s="3"/>
    </row>
    <row r="22" spans="1:288" ht="9.6" customHeight="1" thickBot="1" x14ac:dyDescent="0.35">
      <c r="A22" s="198"/>
      <c r="B22" s="198"/>
      <c r="C22" s="198"/>
      <c r="D22" s="199"/>
      <c r="E22" s="143"/>
      <c r="F22" s="140"/>
      <c r="G22" s="157"/>
      <c r="H22" s="158"/>
      <c r="I22" s="140"/>
      <c r="J22" s="151"/>
      <c r="K22" s="152"/>
      <c r="L22" s="151"/>
      <c r="M22" s="151"/>
      <c r="N22" s="152"/>
      <c r="O22" s="152"/>
      <c r="P22" s="151"/>
      <c r="Q22" s="152"/>
      <c r="R22" s="146"/>
      <c r="S22" s="151"/>
      <c r="T22" s="152"/>
      <c r="U22" s="146"/>
      <c r="V22" s="146"/>
      <c r="W22" s="140"/>
      <c r="X22" s="132"/>
      <c r="Y22" s="133"/>
      <c r="Z22" s="133"/>
      <c r="AA22" s="133"/>
      <c r="AB22" s="133"/>
      <c r="AC22" s="133"/>
      <c r="AD22" s="133"/>
      <c r="AE22" s="132"/>
      <c r="AF22" s="133"/>
      <c r="AG22" s="133"/>
      <c r="AH22" s="133"/>
      <c r="AI22" s="133"/>
      <c r="AJ22" s="133"/>
      <c r="AK22" s="133"/>
      <c r="AL22" s="133"/>
      <c r="AM22" s="133"/>
      <c r="AN22" s="132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2"/>
      <c r="AZ22" s="133"/>
      <c r="BA22" s="133"/>
      <c r="BB22" s="133"/>
      <c r="BC22" s="133"/>
      <c r="BD22" s="134"/>
      <c r="BE22" s="132"/>
      <c r="BF22" s="133"/>
      <c r="BG22" s="133"/>
      <c r="BH22" s="133"/>
      <c r="BI22" s="133"/>
      <c r="BJ22" s="133"/>
      <c r="BK22" s="174"/>
      <c r="BL22" s="175"/>
      <c r="BM22" s="175"/>
      <c r="BN22" s="174"/>
      <c r="BO22" s="175"/>
      <c r="BP22" s="175"/>
      <c r="BQ22" s="175"/>
      <c r="BR22" s="175"/>
      <c r="BS22" s="157"/>
      <c r="BT22" s="158"/>
      <c r="BU22" s="3"/>
    </row>
    <row r="23" spans="1:288" ht="16.2" thickTop="1" x14ac:dyDescent="0.3"/>
  </sheetData>
  <sortState xmlns:xlrd2="http://schemas.microsoft.com/office/spreadsheetml/2017/richdata2" columnSort="1" ref="A1:BR22">
    <sortCondition ref="AE2:BR2"/>
  </sortState>
  <mergeCells count="89">
    <mergeCell ref="A19:D19"/>
    <mergeCell ref="A20:D22"/>
    <mergeCell ref="BK2:BL2"/>
    <mergeCell ref="AW2:AW3"/>
    <mergeCell ref="I1:I3"/>
    <mergeCell ref="W1:W3"/>
    <mergeCell ref="X2:X3"/>
    <mergeCell ref="AA2:AA3"/>
    <mergeCell ref="Y2:Z2"/>
    <mergeCell ref="BB2:BB3"/>
    <mergeCell ref="BC2:BC3"/>
    <mergeCell ref="BD2:BD3"/>
    <mergeCell ref="BE2:BE3"/>
    <mergeCell ref="A1:D1"/>
    <mergeCell ref="J1:V1"/>
    <mergeCell ref="X1:BT1"/>
    <mergeCell ref="B2:B3"/>
    <mergeCell ref="A2:A3"/>
    <mergeCell ref="BG2:BG3"/>
    <mergeCell ref="D2:D3"/>
    <mergeCell ref="AH2:AH3"/>
    <mergeCell ref="G1:H1"/>
    <mergeCell ref="C2:C3"/>
    <mergeCell ref="AC2:AC3"/>
    <mergeCell ref="AD2:AD3"/>
    <mergeCell ref="AE2:AE3"/>
    <mergeCell ref="J2:K2"/>
    <mergeCell ref="U2:U3"/>
    <mergeCell ref="F1:F3"/>
    <mergeCell ref="AQ2:AQ3"/>
    <mergeCell ref="AR2:AR3"/>
    <mergeCell ref="AX2:AX3"/>
    <mergeCell ref="AY2:AY3"/>
    <mergeCell ref="BS2:BS3"/>
    <mergeCell ref="BT2:BT3"/>
    <mergeCell ref="E2:E3"/>
    <mergeCell ref="X20:AD22"/>
    <mergeCell ref="AE20:AM22"/>
    <mergeCell ref="J20:K22"/>
    <mergeCell ref="BH2:BH3"/>
    <mergeCell ref="AK2:AK3"/>
    <mergeCell ref="G2:H2"/>
    <mergeCell ref="M2:O2"/>
    <mergeCell ref="P2:Q2"/>
    <mergeCell ref="S2:T2"/>
    <mergeCell ref="R2:R3"/>
    <mergeCell ref="L2:L3"/>
    <mergeCell ref="AB2:AB3"/>
    <mergeCell ref="AI2:AI3"/>
    <mergeCell ref="AJ2:AJ3"/>
    <mergeCell ref="AV2:AV3"/>
    <mergeCell ref="BS20:BT22"/>
    <mergeCell ref="BK20:BM22"/>
    <mergeCell ref="BN20:BR22"/>
    <mergeCell ref="BQ2:BQ3"/>
    <mergeCell ref="BI2:BI3"/>
    <mergeCell ref="BJ2:BJ3"/>
    <mergeCell ref="BM2:BM3"/>
    <mergeCell ref="BN2:BN3"/>
    <mergeCell ref="BO2:BO3"/>
    <mergeCell ref="BP2:BP3"/>
    <mergeCell ref="BE20:BJ22"/>
    <mergeCell ref="BF2:BF3"/>
    <mergeCell ref="BR2:BR3"/>
    <mergeCell ref="E19:E22"/>
    <mergeCell ref="U19:U22"/>
    <mergeCell ref="V19:V22"/>
    <mergeCell ref="R19:R22"/>
    <mergeCell ref="M20:O22"/>
    <mergeCell ref="L20:L22"/>
    <mergeCell ref="P20:Q22"/>
    <mergeCell ref="G20:H22"/>
    <mergeCell ref="S20:T22"/>
    <mergeCell ref="AY20:BD22"/>
    <mergeCell ref="AP2:AP3"/>
    <mergeCell ref="AZ2:AZ3"/>
    <mergeCell ref="BA2:BA3"/>
    <mergeCell ref="F20:F22"/>
    <mergeCell ref="I20:I22"/>
    <mergeCell ref="W20:W22"/>
    <mergeCell ref="AN20:AX22"/>
    <mergeCell ref="V2:V3"/>
    <mergeCell ref="AT2:AU2"/>
    <mergeCell ref="AF2:AG2"/>
    <mergeCell ref="AL2:AL3"/>
    <mergeCell ref="AM2:AM3"/>
    <mergeCell ref="AS2:AS3"/>
    <mergeCell ref="AN2:AN3"/>
    <mergeCell ref="AO2:AO3"/>
  </mergeCells>
  <phoneticPr fontId="12" type="noConversion"/>
  <conditionalFormatting sqref="A4:A11 A13 A15:A18">
    <cfRule type="colorScale" priority="112">
      <colorScale>
        <cfvo type="min"/>
        <cfvo type="max"/>
        <color rgb="FF63BE7B"/>
        <color rgb="FFFCFCFF"/>
      </colorScale>
    </cfRule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{3C15854A-A618-4512-9EED-1C1DB3123471}</x14:id>
        </ext>
      </extLst>
    </cfRule>
  </conditionalFormatting>
  <conditionalFormatting sqref="G4:H18">
    <cfRule type="cellIs" dxfId="8" priority="2" operator="greaterThan">
      <formula>116.5</formula>
    </cfRule>
  </conditionalFormatting>
  <conditionalFormatting sqref="J4:K5">
    <cfRule type="cellIs" dxfId="7" priority="8" operator="greaterThan">
      <formula>160</formula>
    </cfRule>
  </conditionalFormatting>
  <conditionalFormatting sqref="L4:L5 N4:O5">
    <cfRule type="cellIs" dxfId="6" priority="7" operator="greaterThan">
      <formula>139</formula>
    </cfRule>
  </conditionalFormatting>
  <conditionalFormatting sqref="M4:M5">
    <cfRule type="cellIs" dxfId="5" priority="1" operator="greaterThan">
      <formula>110</formula>
    </cfRule>
  </conditionalFormatting>
  <conditionalFormatting sqref="P4:Q5">
    <cfRule type="cellIs" dxfId="4" priority="5" operator="greaterThan">
      <formula>35</formula>
    </cfRule>
  </conditionalFormatting>
  <conditionalFormatting sqref="R4:R5">
    <cfRule type="cellIs" dxfId="3" priority="4" operator="greaterThan">
      <formula>20</formula>
    </cfRule>
  </conditionalFormatting>
  <conditionalFormatting sqref="S4:T5">
    <cfRule type="cellIs" dxfId="2" priority="3" operator="greaterThan">
      <formula>12</formula>
    </cfRule>
  </conditionalFormatting>
  <conditionalFormatting sqref="AE4:AG5">
    <cfRule type="cellIs" dxfId="1" priority="15" operator="greaterThan">
      <formula>24</formula>
    </cfRule>
  </conditionalFormatting>
  <conditionalFormatting sqref="BE4:BE18">
    <cfRule type="cellIs" dxfId="0" priority="9" operator="greaterThan">
      <formula>53</formula>
    </cfRule>
  </conditionalFormatting>
  <hyperlinks>
    <hyperlink ref="D18" r:id="rId1" display="https://archive.org/details/throughspainreco00dickrich/page/n13/mode/2up" xr:uid="{B65BD2F7-3030-4DD8-9E66-829BA23D7C93}"/>
    <hyperlink ref="D17" r:id="rId2" display="https://www.gutenberg.org/ebooks/7430" xr:uid="{BC5C28BE-651A-4CD9-B459-BBBE27878BB5}"/>
    <hyperlink ref="D16" r:id="rId3" display="https://www.gutenberg.org/ebooks/40201" xr:uid="{B338EA06-0898-4DB5-8BB2-0C91C4782DDB}"/>
    <hyperlink ref="D10" r:id="rId4" display="https://archive.org/details/sunshadowinspain00elliuoft" xr:uid="{1BBD192C-944F-4D78-A20A-3AD5A49D9F1D}"/>
    <hyperlink ref="D8" r:id="rId5" display="https://www.gutenberg.org/ebooks/27252" xr:uid="{F4D48205-12A1-4E68-96EF-62F6181832FA}"/>
    <hyperlink ref="D7" r:id="rId6" display="https://archive.org/details/atrampinspain00unkngoog/page/n8/mode/2up" xr:uid="{301E4A48-EEEE-4488-BADA-AC13B76B83A8}"/>
    <hyperlink ref="D6" r:id="rId7" display="https://www.gutenberg.org/ebooks/59944" xr:uid="{B79205B5-91A6-46F0-A96E-62FDEEDBCFF0}"/>
    <hyperlink ref="D4" r:id="rId8" display="https://www.gutenberg.org/ebooks/38767" xr:uid="{B946F2F7-514E-4B2B-B04B-CF82F1CABAB3}"/>
    <hyperlink ref="D9" r:id="rId9" display="https://www.gutenberg.org/ebooks/37944" xr:uid="{B6F7DD07-8261-472F-A654-584BC2D9E8C2}"/>
    <hyperlink ref="D13" r:id="rId10" display="https://www.gutenberg.org/ebooks/41593" xr:uid="{54EA4656-F2CA-412B-A878-1F8ECD46BD82}"/>
    <hyperlink ref="D11" r:id="rId11" display="https://www.gutenberg.org/ebooks/40356" xr:uid="{D8488F9C-769D-4874-8813-2FEB4D192DC9}"/>
    <hyperlink ref="D5" r:id="rId12" display="https://archive.org/details/landofdons00will/page/n19/mode/2up" xr:uid="{7F43A86B-9BAB-4E8A-B804-0727156123A0}"/>
    <hyperlink ref="D15" r:id="rId13" display="https://www.gutenberg.org/ebooks/40357" xr:uid="{EAE024E8-79A2-4D96-BFB5-FE7227BE9EF7}"/>
    <hyperlink ref="D12" r:id="rId14" display="https://archive.org/details/spainoftodaynarr00shaw/page/n11/mode/2up" xr:uid="{745B2881-9608-47CD-91FE-5D658A22ABC1}"/>
    <hyperlink ref="D14" r:id="rId15" display="https://www.gutenberg.org/ebooks/author/39917" xr:uid="{35A74380-6EE2-4531-B4EF-1A23B374EDAB}"/>
  </hyperlinks>
  <pageMargins left="0.70866141732283472" right="0.70866141732283472" top="0.74803149606299213" bottom="0.74803149606299213" header="0.31496062992125984" footer="0.31496062992125984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5854A-A618-4512-9EED-1C1DB3123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2026-05-15T16:47:29Z</dcterms:modified>
</cp:coreProperties>
</file>