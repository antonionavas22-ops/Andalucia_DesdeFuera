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3BCAC57A-CCFE-4BA7-BCA3-C29B17C3262F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8" i="1" l="1"/>
  <c r="AF18" i="1"/>
  <c r="AE18" i="1"/>
  <c r="AD18" i="1"/>
  <c r="AC18" i="1"/>
  <c r="AB18" i="1"/>
  <c r="AA18" i="1"/>
  <c r="Z18" i="1"/>
  <c r="Y18" i="1"/>
  <c r="X18" i="1"/>
  <c r="F18" i="1"/>
  <c r="S18" i="1"/>
  <c r="V18" i="1"/>
  <c r="P18" i="1"/>
  <c r="O18" i="1"/>
  <c r="W18" i="1"/>
  <c r="R18" i="1"/>
  <c r="N18" i="1"/>
  <c r="Q18" i="1"/>
  <c r="U18" i="1"/>
  <c r="T18" i="1"/>
  <c r="M18" i="1"/>
  <c r="L18" i="1"/>
  <c r="K18" i="1"/>
  <c r="J18" i="1"/>
  <c r="I18" i="1"/>
  <c r="H18" i="1"/>
  <c r="G18" i="1"/>
</calcChain>
</file>

<file path=xl/sharedStrings.xml><?xml version="1.0" encoding="utf-8"?>
<sst xmlns="http://schemas.openxmlformats.org/spreadsheetml/2006/main" count="198" uniqueCount="126">
  <si>
    <t xml:space="preserve">Almeria </t>
  </si>
  <si>
    <t>Cadiz</t>
  </si>
  <si>
    <t>Huelva</t>
  </si>
  <si>
    <t>Jaen</t>
  </si>
  <si>
    <t>Andalusia y Andalucia</t>
  </si>
  <si>
    <t>Gutenberg</t>
  </si>
  <si>
    <t>Internet archive</t>
  </si>
  <si>
    <t>Granada: memories, adventures, studies and impresssions.</t>
  </si>
  <si>
    <t>HathiTrust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</si>
  <si>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</si>
  <si>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</si>
  <si>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</si>
  <si>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</si>
  <si>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Heroic Spain</t>
  </si>
  <si>
    <t>The cities of Spain</t>
  </si>
  <si>
    <t>Four months afoot in Spain</t>
  </si>
  <si>
    <t>Along Spain`s river romance the Guadalquivir: the lure of the real spain in anadalusia.</t>
  </si>
  <si>
    <t>Things seen in Spain</t>
  </si>
  <si>
    <t>Family spanish travel</t>
  </si>
  <si>
    <t>Thorugh Spain</t>
  </si>
  <si>
    <t>TÍTULO</t>
  </si>
  <si>
    <t>AÑO</t>
  </si>
  <si>
    <t xml:space="preserve">Spanish Highway and Bayways </t>
  </si>
  <si>
    <t>Impressions of Spain</t>
  </si>
  <si>
    <t>CAPITALES DE PROVINCIA</t>
  </si>
  <si>
    <t>RELATOS DE VIAJES ANGLOSAJONES (1900-1914)</t>
  </si>
  <si>
    <t>Municipios de provincia</t>
  </si>
  <si>
    <t>Albert Frederick Calvert (1872-1946, UK)</t>
  </si>
  <si>
    <t>REPOSITORIO</t>
  </si>
  <si>
    <r>
      <t xml:space="preserve">Bates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</si>
  <si>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</si>
  <si>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AUTOR (fecha y nacionalidad angosajona)</t>
  </si>
  <si>
    <t xml:space="preserve">The land of the blessed virgin: sketches and impressions in Andalusia </t>
  </si>
  <si>
    <t>Écija y ecija</t>
  </si>
  <si>
    <t>Jerez; Xerez; sherry</t>
  </si>
  <si>
    <t>Granada; Alhamabra; generalife</t>
  </si>
  <si>
    <t>Ronda; Tajo</t>
  </si>
  <si>
    <r>
      <t xml:space="preserve">Maugham William Somerset (1874-1965, </t>
    </r>
    <r>
      <rPr>
        <b/>
        <sz val="12"/>
        <color theme="1"/>
        <rFont val="Calibri"/>
        <family val="2"/>
        <scheme val="minor"/>
      </rPr>
      <t>FRA/UK</t>
    </r>
    <r>
      <rPr>
        <sz val="12"/>
        <color theme="1"/>
        <rFont val="Calibri"/>
        <family val="2"/>
        <scheme val="minor"/>
      </rPr>
      <t>)</t>
    </r>
  </si>
  <si>
    <r>
      <t>Williams Leonard (1871-1934,</t>
    </r>
    <r>
      <rPr>
        <b/>
        <sz val="12"/>
        <color theme="1"/>
        <rFont val="Calibri"/>
        <family val="2"/>
        <scheme val="minor"/>
      </rPr>
      <t xml:space="preserve"> UK</t>
    </r>
    <r>
      <rPr>
        <sz val="12"/>
        <color theme="1"/>
        <rFont val="Calibri"/>
        <family val="2"/>
        <scheme val="minor"/>
      </rPr>
      <t>)</t>
    </r>
  </si>
  <si>
    <r>
      <t xml:space="preserve">Bart Kennedy (1861-1930,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 xml:space="preserve">) </t>
    </r>
  </si>
  <si>
    <t>A tramp in Spain: from Andalusia to Andorra</t>
  </si>
  <si>
    <t>Algeciras</t>
  </si>
  <si>
    <t>Guadix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</si>
  <si>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</si>
  <si>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 xml:space="preserve">Albert Frederick Calvert (1872-1946,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>)</t>
    </r>
  </si>
  <si>
    <r>
      <t xml:space="preserve">Elizabeth Boyle O`Reilly (1874-1921,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 xml:space="preserve">) </t>
    </r>
  </si>
  <si>
    <t>Sevilla; Seville; Giralda</t>
  </si>
  <si>
    <t>Cordova; Cordoba; mezquita; mosque</t>
  </si>
  <si>
    <t>Tarifa</t>
  </si>
  <si>
    <r>
      <t xml:space="preserve">Catherine G. Hartley (1874-1921,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 xml:space="preserve">) </t>
    </r>
  </si>
  <si>
    <t>Edward Hutton (1875-1962, UK)</t>
  </si>
  <si>
    <t>Donana/Doñana</t>
  </si>
  <si>
    <t>Almonte</t>
  </si>
  <si>
    <r>
      <t xml:space="preserve">Abel Chapman (1851-1929,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 xml:space="preserve">) y John Walter Buck (1843-1917 </t>
    </r>
    <r>
      <rPr>
        <b/>
        <sz val="12"/>
        <color theme="1"/>
        <rFont val="Calibri"/>
        <family val="2"/>
        <scheme val="minor"/>
      </rPr>
      <t>USA/UK)</t>
    </r>
    <r>
      <rPr>
        <sz val="12"/>
        <color theme="1"/>
        <rFont val="Calibri"/>
        <family val="2"/>
        <scheme val="minor"/>
      </rPr>
      <t xml:space="preserve"> </t>
    </r>
  </si>
  <si>
    <t>Bailen</t>
  </si>
  <si>
    <t xml:space="preserve">Palma del rio </t>
  </si>
  <si>
    <t>ubeda</t>
  </si>
  <si>
    <t>Baeza</t>
  </si>
  <si>
    <t>Bujalance</t>
  </si>
  <si>
    <r>
      <t xml:space="preserve">Paul Gwynne (1874-1963, </t>
    </r>
    <r>
      <rPr>
        <b/>
        <sz val="12"/>
        <color theme="1"/>
        <rFont val="Calibri"/>
        <family val="2"/>
        <scheme val="minor"/>
      </rPr>
      <t>UK</t>
    </r>
    <r>
      <rPr>
        <sz val="12"/>
        <color theme="1"/>
        <rFont val="Calibri"/>
        <family val="2"/>
        <scheme val="minor"/>
      </rPr>
      <t xml:space="preserve">) </t>
    </r>
  </si>
  <si>
    <t>Cazorla</t>
  </si>
  <si>
    <t>Villacarrillo</t>
  </si>
  <si>
    <t>Andujar</t>
  </si>
  <si>
    <t>RIO TINTO</t>
  </si>
  <si>
    <t>Antequera</t>
  </si>
  <si>
    <t>Linares</t>
  </si>
  <si>
    <t>Menjíbar</t>
  </si>
  <si>
    <t xml:space="preserve">montoro </t>
  </si>
  <si>
    <t>Carmona</t>
  </si>
  <si>
    <t>Almodovar</t>
  </si>
  <si>
    <t>Duncan Dickinson ¿fecha de nacimiento y muerte? (UK)</t>
  </si>
  <si>
    <t>Utrera</t>
  </si>
  <si>
    <t>San fernando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</si>
  <si>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</si>
  <si>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</si>
  <si>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Malaga; gibralfaro</t>
  </si>
  <si>
    <t>Huercal (overa)</t>
  </si>
  <si>
    <t>OBSERVACIÓN DE BÚSQUEDA</t>
  </si>
  <si>
    <t xml:space="preserve">Córdoba </t>
  </si>
  <si>
    <t>Mezquita</t>
  </si>
  <si>
    <t>Granada</t>
  </si>
  <si>
    <t>Alhambra o generalife</t>
  </si>
  <si>
    <t>Málaga</t>
  </si>
  <si>
    <t>Gibralfaro</t>
  </si>
  <si>
    <t>Sevilla</t>
  </si>
  <si>
    <t>Giralda o torre del oro</t>
  </si>
  <si>
    <t>Jerez</t>
  </si>
  <si>
    <t>Sherry</t>
  </si>
  <si>
    <t>Ronda</t>
  </si>
  <si>
    <t>Tajo o Gorge</t>
  </si>
  <si>
    <t>Ciudades que se derciben de forma implícita a través de un monumento  con nombre propio, si se busca por ese medio.</t>
  </si>
  <si>
    <t>Ayamonte</t>
  </si>
  <si>
    <t>TOTAL nº mencions por relato</t>
  </si>
  <si>
    <t>Total de menciones  de un municpio en todos los libros</t>
  </si>
  <si>
    <t>Nº municipios descritos por relato</t>
  </si>
  <si>
    <t>Total de menciones  de una capital de provincia en todos los libros</t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</si>
  <si>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</si>
  <si>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</si>
  <si>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</si>
  <si>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</si>
  <si>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</si>
  <si>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</si>
  <si>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 xml:space="preserve"> Cordoba</t>
  </si>
  <si>
    <t>Malaga</t>
  </si>
  <si>
    <t>Ecija</t>
  </si>
  <si>
    <t>Observaciones de conteo</t>
  </si>
  <si>
    <t>Se ha limitado a las menciones en el cuerpo del texto,  excluyendo así títulos de ilutraciones o anexos.</t>
  </si>
  <si>
    <t>The land of the Dons</t>
  </si>
  <si>
    <t xml:space="preserve"> Internet archive</t>
  </si>
  <si>
    <t xml:space="preserve">La linea de la concepción </t>
  </si>
  <si>
    <t>Bobadilla (Antequera)</t>
  </si>
  <si>
    <t xml:space="preserve">Rio Tinto y  Tharsis </t>
  </si>
  <si>
    <t>marchena</t>
  </si>
  <si>
    <t>mairena</t>
  </si>
  <si>
    <t>Collins, William Wiehe (1837, 1920, UK)</t>
  </si>
  <si>
    <t xml:space="preserve"> Gutenberg </t>
  </si>
  <si>
    <t>Heroic  Spain</t>
  </si>
  <si>
    <t>Sanlucar de barrameda</t>
  </si>
  <si>
    <t>Santiponce</t>
  </si>
  <si>
    <t>baza</t>
  </si>
  <si>
    <t>Puerto de Santa María</t>
  </si>
  <si>
    <t>Bates, Katharine Lee (1859-1929, USA)</t>
  </si>
  <si>
    <t>Maude Howe Elliot (1854-1948, USA)</t>
  </si>
  <si>
    <t>Elizabeth Boyle O`Reilly (1874-1922, USA)</t>
  </si>
  <si>
    <t>A   la comunidad</t>
  </si>
  <si>
    <t>Jerez (+sherry)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</si>
</sst>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7030A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6"/>
      <color theme="8" tint="0.59999389629810485"/>
      <name val="Calibri"/>
      <family val="2"/>
      <scheme val="minor"/>
    </font>
    <font>
      <sz val="12"/>
      <color theme="8" tint="0.59999389629810485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8" fillId="0" borderId="0" xfId="1" applyFont="1" applyFill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9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0" fillId="0" borderId="7" xfId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13" fillId="0" borderId="7" xfId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" fillId="0" borderId="7" xfId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14" fillId="14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20" fillId="0" borderId="12" xfId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3" fillId="0" borderId="19" xfId="1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/>
    </xf>
    <xf numFmtId="0" fontId="2" fillId="14" borderId="20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4" fillId="14" borderId="12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14" borderId="17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0" fontId="14" fillId="14" borderId="19" xfId="0" applyFont="1" applyFill="1" applyBorder="1" applyAlignment="1">
      <alignment horizontal="center" vertical="center"/>
    </xf>
    <xf numFmtId="0" fontId="9" fillId="17" borderId="8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6" fillId="18" borderId="8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2" fillId="14" borderId="22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21" fillId="0" borderId="19" xfId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5" fillId="14" borderId="19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41593" TargetMode="External"/><Relationship Id="rId13" Type="http://schemas.openxmlformats.org/officeDocument/2006/relationships/hyperlink" Target="https://archive.org/details/atrampinspain00unkngoog/page/n8/mode/2up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archive.org/details/heroicspain00oreirich/page/n9/mode/2up" TargetMode="External"/><Relationship Id="rId12" Type="http://schemas.openxmlformats.org/officeDocument/2006/relationships/hyperlink" Target="https://www.gutenberg.org/ebooks/27252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hyperlink" Target="https://www.gutenberg.org/ebooks/37944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TheCitiesOfSpain" TargetMode="External"/><Relationship Id="rId11" Type="http://schemas.openxmlformats.org/officeDocument/2006/relationships/hyperlink" Target="https://catalog.hathitrust.org/Record/006572085" TargetMode="External"/><Relationship Id="rId5" Type="http://schemas.openxmlformats.org/officeDocument/2006/relationships/hyperlink" Target="https://www.gutenberg.org/ebooks/40357" TargetMode="External"/><Relationship Id="rId15" Type="http://schemas.openxmlformats.org/officeDocument/2006/relationships/hyperlink" Target="https://www.gutenberg.org/ebooks/38767" TargetMode="External"/><Relationship Id="rId10" Type="http://schemas.openxmlformats.org/officeDocument/2006/relationships/hyperlink" Target="https://archive.org/details/sunshadowinspain00elliuoft" TargetMode="External"/><Relationship Id="rId4" Type="http://schemas.openxmlformats.org/officeDocument/2006/relationships/hyperlink" Target="https://archive.org/details/alongspainsriver00slatrich" TargetMode="External"/><Relationship Id="rId9" Type="http://schemas.openxmlformats.org/officeDocument/2006/relationships/hyperlink" Target="https://archive.org/details/spainoftodaynarr00shaw/page/n11/mode/2up" TargetMode="External"/><Relationship Id="rId14" Type="http://schemas.openxmlformats.org/officeDocument/2006/relationships/hyperlink" Target="https://www.gutenberg.org/ebooks/59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zoomScale="70" zoomScaleNormal="70" workbookViewId="0">
      <selection activeCell="AE22" sqref="AE22"/>
    </sheetView>
  </sheetViews>
  <sheetFormatPr baseColWidth="10" defaultColWidth="8.88671875" defaultRowHeight="15.6" x14ac:dyDescent="0.3"/>
  <cols>
    <col min="1" max="1" width="77.5546875" style="26" customWidth="1"/>
    <col min="2" max="2" width="53.109375" style="7" customWidth="1"/>
    <col min="3" max="3" width="12.88671875" style="7" customWidth="1"/>
    <col min="4" max="4" width="23.5546875" style="7" customWidth="1"/>
    <col min="5" max="5" width="28.109375" style="7" customWidth="1"/>
    <col min="6" max="6" width="14.5546875" style="7" customWidth="1"/>
    <col min="7" max="7" width="14" style="7" customWidth="1"/>
    <col min="8" max="8" width="17.88671875" style="7" customWidth="1"/>
    <col min="9" max="9" width="17.5546875" style="7" customWidth="1"/>
    <col min="10" max="10" width="16.21875" style="7" customWidth="1"/>
    <col min="11" max="11" width="14" style="7" customWidth="1"/>
    <col min="12" max="12" width="16" style="7" customWidth="1"/>
    <col min="13" max="13" width="16.33203125" style="7" customWidth="1"/>
    <col min="14" max="14" width="20.6640625" style="7" customWidth="1"/>
    <col min="15" max="15" width="17.21875" style="7" customWidth="1"/>
    <col min="16" max="16" width="17.109375" style="7" customWidth="1"/>
    <col min="17" max="17" width="15.33203125" style="7" customWidth="1"/>
    <col min="18" max="18" width="15.5546875" style="7" customWidth="1"/>
    <col min="19" max="19" width="21.109375" style="7" customWidth="1"/>
    <col min="20" max="20" width="21.33203125" style="7" customWidth="1"/>
    <col min="21" max="21" width="19.5546875" style="7" customWidth="1"/>
    <col min="22" max="22" width="27.33203125" style="7" customWidth="1"/>
    <col min="23" max="23" width="26.6640625" style="7" customWidth="1"/>
    <col min="24" max="24" width="27.33203125" style="7" customWidth="1"/>
    <col min="25" max="25" width="32.21875" style="7" customWidth="1"/>
    <col min="26" max="26" width="34" style="7" customWidth="1"/>
    <col min="27" max="27" width="25.88671875" style="7" customWidth="1"/>
    <col min="28" max="28" width="22.77734375" style="7" customWidth="1"/>
    <col min="29" max="29" width="25.21875" style="7" customWidth="1"/>
    <col min="30" max="30" width="16.109375" style="7" customWidth="1"/>
    <col min="31" max="31" width="24.44140625" style="7" customWidth="1"/>
    <col min="32" max="32" width="24" style="7" customWidth="1"/>
    <col min="33" max="33" width="20.5546875" style="7" customWidth="1"/>
    <col min="34" max="34" width="17.77734375" style="7" customWidth="1"/>
    <col min="35" max="35" width="25.5546875" style="7" customWidth="1"/>
    <col min="36" max="36" width="17.109375" style="7" customWidth="1"/>
    <col min="37" max="37" width="46.6640625" style="7" customWidth="1"/>
    <col min="38" max="38" width="33.109375" style="7" customWidth="1"/>
    <col min="39" max="39" width="23.109375" style="7" customWidth="1"/>
    <col min="40" max="40" width="21.77734375" style="7" customWidth="1"/>
    <col min="41" max="41" width="25.21875" style="7" customWidth="1"/>
    <col min="42" max="42" width="17.77734375" style="7" customWidth="1"/>
    <col min="43" max="16384" width="8.88671875" style="7"/>
  </cols>
  <sheetData>
    <row r="1" spans="1:40" s="25" customFormat="1" ht="39" customHeight="1" x14ac:dyDescent="0.3">
      <c r="A1" s="83" t="s">
        <v>25</v>
      </c>
      <c r="B1" s="84"/>
      <c r="C1" s="84"/>
      <c r="D1" s="84"/>
      <c r="E1" s="89" t="s">
        <v>4</v>
      </c>
      <c r="F1" s="85" t="s">
        <v>24</v>
      </c>
      <c r="G1" s="86"/>
      <c r="H1" s="86"/>
      <c r="I1" s="86"/>
      <c r="J1" s="86"/>
      <c r="K1" s="86"/>
      <c r="L1" s="86"/>
      <c r="M1" s="86"/>
      <c r="N1" s="87"/>
      <c r="O1" s="87"/>
      <c r="P1" s="87"/>
      <c r="Q1" s="87"/>
      <c r="R1" s="87"/>
      <c r="S1" s="87"/>
      <c r="T1" s="87"/>
      <c r="U1" s="87"/>
      <c r="V1" s="87"/>
      <c r="W1" s="87"/>
      <c r="X1" s="88" t="s">
        <v>26</v>
      </c>
      <c r="Y1" s="88"/>
      <c r="Z1" s="88"/>
      <c r="AA1" s="88"/>
      <c r="AB1" s="88"/>
      <c r="AC1" s="88"/>
      <c r="AD1" s="88"/>
      <c r="AE1" s="88"/>
      <c r="AF1" s="88"/>
      <c r="AG1" s="88"/>
      <c r="AH1" s="30"/>
      <c r="AI1" s="30"/>
      <c r="AJ1" s="79"/>
      <c r="AM1" s="31"/>
      <c r="AN1" s="31"/>
    </row>
    <row r="2" spans="1:40" ht="71.400000000000006" customHeight="1" thickBot="1" x14ac:dyDescent="0.35">
      <c r="A2" s="92" t="s">
        <v>31</v>
      </c>
      <c r="B2" s="92" t="s">
        <v>20</v>
      </c>
      <c r="C2" s="92" t="s">
        <v>21</v>
      </c>
      <c r="D2" s="92" t="s">
        <v>28</v>
      </c>
      <c r="E2" s="129" t="s">
        <v>124</v>
      </c>
      <c r="F2" s="93" t="s">
        <v>0</v>
      </c>
      <c r="G2" s="93" t="s">
        <v>1</v>
      </c>
      <c r="H2" s="93" t="s">
        <v>102</v>
      </c>
      <c r="I2" s="93" t="s">
        <v>80</v>
      </c>
      <c r="J2" s="93" t="s">
        <v>2</v>
      </c>
      <c r="K2" s="93" t="s">
        <v>3</v>
      </c>
      <c r="L2" s="93" t="s">
        <v>103</v>
      </c>
      <c r="M2" s="93" t="s">
        <v>84</v>
      </c>
      <c r="N2" s="94" t="s">
        <v>41</v>
      </c>
      <c r="O2" s="94" t="s">
        <v>52</v>
      </c>
      <c r="P2" s="94" t="s">
        <v>57</v>
      </c>
      <c r="Q2" s="94" t="s">
        <v>104</v>
      </c>
      <c r="R2" s="94" t="s">
        <v>42</v>
      </c>
      <c r="S2" s="94" t="s">
        <v>76</v>
      </c>
      <c r="T2" s="94" t="s">
        <v>125</v>
      </c>
      <c r="U2" s="94" t="s">
        <v>88</v>
      </c>
      <c r="V2" s="94" t="s">
        <v>111</v>
      </c>
      <c r="W2" s="94" t="s">
        <v>48</v>
      </c>
      <c r="X2" s="94" t="s">
        <v>71</v>
      </c>
      <c r="Y2" s="94" t="s">
        <v>109</v>
      </c>
      <c r="Z2" s="94" t="s">
        <v>110</v>
      </c>
      <c r="AA2" s="94" t="s">
        <v>112</v>
      </c>
      <c r="AB2" s="94" t="s">
        <v>113</v>
      </c>
      <c r="AC2" s="94" t="s">
        <v>117</v>
      </c>
      <c r="AD2" s="94" t="s">
        <v>118</v>
      </c>
      <c r="AE2" s="94" t="s">
        <v>119</v>
      </c>
      <c r="AF2" s="94" t="s">
        <v>120</v>
      </c>
      <c r="AG2" s="94" t="s">
        <v>72</v>
      </c>
      <c r="AH2" s="32"/>
      <c r="AI2" s="32"/>
      <c r="AJ2" s="33"/>
    </row>
    <row r="3" spans="1:40" ht="43.2" customHeight="1" thickTop="1" x14ac:dyDescent="0.3">
      <c r="A3" s="95" t="s">
        <v>121</v>
      </c>
      <c r="B3" s="96" t="s">
        <v>22</v>
      </c>
      <c r="C3" s="97">
        <v>1900</v>
      </c>
      <c r="D3" s="98" t="s">
        <v>5</v>
      </c>
      <c r="E3" s="99">
        <v>26</v>
      </c>
      <c r="F3" s="100"/>
      <c r="G3" s="100">
        <v>21</v>
      </c>
      <c r="H3" s="100">
        <v>14</v>
      </c>
      <c r="I3" s="100">
        <v>48</v>
      </c>
      <c r="J3" s="100"/>
      <c r="K3" s="100"/>
      <c r="L3" s="100">
        <v>2</v>
      </c>
      <c r="M3" s="100">
        <v>64</v>
      </c>
      <c r="N3" s="101"/>
      <c r="O3" s="101"/>
      <c r="P3" s="101"/>
      <c r="Q3" s="101">
        <v>1</v>
      </c>
      <c r="R3" s="101">
        <v>1</v>
      </c>
      <c r="S3" s="101"/>
      <c r="T3" s="101">
        <v>6</v>
      </c>
      <c r="U3" s="101">
        <v>7</v>
      </c>
      <c r="V3" s="101"/>
      <c r="W3" s="101"/>
      <c r="X3" s="101"/>
      <c r="Y3" s="101"/>
      <c r="Z3" s="101"/>
      <c r="AA3" s="101"/>
      <c r="AB3" s="101"/>
      <c r="AC3" s="101">
        <v>1</v>
      </c>
      <c r="AD3" s="101">
        <v>1</v>
      </c>
      <c r="AE3" s="101"/>
      <c r="AF3" s="101">
        <v>1</v>
      </c>
      <c r="AG3" s="102"/>
      <c r="AH3" s="23"/>
    </row>
    <row r="4" spans="1:40" ht="43.2" customHeight="1" x14ac:dyDescent="0.3">
      <c r="A4" s="103" t="s">
        <v>98</v>
      </c>
      <c r="B4" s="51" t="s">
        <v>107</v>
      </c>
      <c r="C4" s="52">
        <v>1902</v>
      </c>
      <c r="D4" s="55" t="s">
        <v>108</v>
      </c>
      <c r="E4" s="80">
        <v>44</v>
      </c>
      <c r="F4" s="69"/>
      <c r="G4" s="69">
        <v>10</v>
      </c>
      <c r="H4" s="69">
        <v>5</v>
      </c>
      <c r="I4" s="69">
        <v>6</v>
      </c>
      <c r="J4" s="69">
        <v>1</v>
      </c>
      <c r="K4" s="69"/>
      <c r="L4" s="69">
        <v>10</v>
      </c>
      <c r="M4" s="69">
        <v>11</v>
      </c>
      <c r="N4" s="73">
        <v>7</v>
      </c>
      <c r="O4" s="73"/>
      <c r="P4" s="73"/>
      <c r="Q4" s="73"/>
      <c r="R4" s="73"/>
      <c r="S4" s="73"/>
      <c r="T4" s="73">
        <v>2</v>
      </c>
      <c r="U4" s="73">
        <v>12</v>
      </c>
      <c r="V4" s="73"/>
      <c r="W4" s="73">
        <v>2</v>
      </c>
      <c r="X4" s="73"/>
      <c r="Y4" s="73">
        <v>3</v>
      </c>
      <c r="Z4" s="73">
        <v>1</v>
      </c>
      <c r="AA4" s="73"/>
      <c r="AB4" s="73"/>
      <c r="AC4" s="73"/>
      <c r="AD4" s="73"/>
      <c r="AE4" s="73"/>
      <c r="AF4" s="73"/>
      <c r="AG4" s="104"/>
    </row>
    <row r="5" spans="1:40" ht="45" customHeight="1" x14ac:dyDescent="0.3">
      <c r="A5" s="103" t="s">
        <v>27</v>
      </c>
      <c r="B5" s="51" t="s">
        <v>23</v>
      </c>
      <c r="C5" s="52">
        <v>1903</v>
      </c>
      <c r="D5" s="53" t="s">
        <v>5</v>
      </c>
      <c r="E5" s="80">
        <v>15</v>
      </c>
      <c r="F5" s="70">
        <v>4</v>
      </c>
      <c r="G5" s="69">
        <v>15</v>
      </c>
      <c r="H5" s="69">
        <v>26</v>
      </c>
      <c r="I5" s="69">
        <v>24</v>
      </c>
      <c r="J5" s="69">
        <v>4</v>
      </c>
      <c r="K5" s="69">
        <v>6</v>
      </c>
      <c r="L5" s="69">
        <v>14</v>
      </c>
      <c r="M5" s="69">
        <v>37</v>
      </c>
      <c r="N5" s="73"/>
      <c r="O5" s="73"/>
      <c r="P5" s="73">
        <v>1</v>
      </c>
      <c r="Q5" s="73"/>
      <c r="R5" s="73"/>
      <c r="S5" s="73">
        <v>9</v>
      </c>
      <c r="T5" s="73"/>
      <c r="U5" s="73">
        <v>4</v>
      </c>
      <c r="V5" s="73">
        <v>14</v>
      </c>
      <c r="W5" s="73"/>
      <c r="X5" s="73"/>
      <c r="Y5" s="73"/>
      <c r="Z5" s="73"/>
      <c r="AA5" s="73"/>
      <c r="AB5" s="73"/>
      <c r="AC5" s="73"/>
      <c r="AD5" s="73"/>
      <c r="AE5" s="73"/>
      <c r="AF5" s="73"/>
      <c r="AG5" s="104"/>
    </row>
    <row r="6" spans="1:40" ht="38.4" customHeight="1" thickBot="1" x14ac:dyDescent="0.35">
      <c r="A6" s="103" t="s">
        <v>96</v>
      </c>
      <c r="B6" s="51" t="s">
        <v>40</v>
      </c>
      <c r="C6" s="52">
        <v>1904</v>
      </c>
      <c r="D6" s="53" t="s">
        <v>6</v>
      </c>
      <c r="E6" s="80">
        <v>10</v>
      </c>
      <c r="F6" s="69"/>
      <c r="G6" s="69">
        <v>1</v>
      </c>
      <c r="H6" s="69">
        <v>5</v>
      </c>
      <c r="I6" s="69">
        <v>43</v>
      </c>
      <c r="J6" s="69"/>
      <c r="K6" s="69">
        <v>9</v>
      </c>
      <c r="L6" s="69">
        <v>4</v>
      </c>
      <c r="M6" s="69">
        <v>53</v>
      </c>
      <c r="N6" s="73">
        <v>4</v>
      </c>
      <c r="O6" s="73"/>
      <c r="P6" s="73"/>
      <c r="Q6" s="73"/>
      <c r="R6" s="73"/>
      <c r="S6" s="73"/>
      <c r="T6" s="73"/>
      <c r="U6" s="73">
        <v>8</v>
      </c>
      <c r="V6" s="73"/>
      <c r="W6" s="73"/>
      <c r="X6" s="73"/>
      <c r="Y6" s="74"/>
      <c r="Z6" s="73">
        <v>5</v>
      </c>
      <c r="AA6" s="73"/>
      <c r="AB6" s="73"/>
      <c r="AC6" s="73"/>
      <c r="AD6" s="73"/>
      <c r="AE6" s="73"/>
      <c r="AF6" s="73"/>
      <c r="AG6" s="104"/>
    </row>
    <row r="7" spans="1:40" ht="46.2" customHeight="1" thickTop="1" thickBot="1" x14ac:dyDescent="0.35">
      <c r="A7" s="105" t="s">
        <v>97</v>
      </c>
      <c r="B7" s="106" t="s">
        <v>32</v>
      </c>
      <c r="C7" s="107">
        <v>1905</v>
      </c>
      <c r="D7" s="108" t="s">
        <v>5</v>
      </c>
      <c r="E7" s="109">
        <v>74</v>
      </c>
      <c r="F7" s="110"/>
      <c r="G7" s="110">
        <v>13</v>
      </c>
      <c r="H7" s="110">
        <v>22</v>
      </c>
      <c r="I7" s="110">
        <v>17</v>
      </c>
      <c r="J7" s="110"/>
      <c r="K7" s="110"/>
      <c r="L7" s="110">
        <v>9</v>
      </c>
      <c r="M7" s="110">
        <v>81</v>
      </c>
      <c r="N7" s="111">
        <v>1</v>
      </c>
      <c r="O7" s="111"/>
      <c r="P7" s="111"/>
      <c r="Q7" s="111">
        <v>13</v>
      </c>
      <c r="R7" s="111"/>
      <c r="S7" s="111"/>
      <c r="T7" s="111">
        <v>13</v>
      </c>
      <c r="U7" s="111">
        <v>16</v>
      </c>
      <c r="V7" s="111"/>
      <c r="W7" s="111"/>
      <c r="X7" s="111"/>
      <c r="Y7" s="111"/>
      <c r="Z7" s="111"/>
      <c r="AA7" s="111">
        <v>10</v>
      </c>
      <c r="AB7" s="111">
        <v>4</v>
      </c>
      <c r="AC7" s="111"/>
      <c r="AD7" s="111"/>
      <c r="AE7" s="111"/>
      <c r="AF7" s="111"/>
      <c r="AG7" s="112"/>
      <c r="AI7" s="91"/>
    </row>
    <row r="8" spans="1:40" ht="43.2" customHeight="1" thickTop="1" x14ac:dyDescent="0.3">
      <c r="A8" s="113" t="s">
        <v>27</v>
      </c>
      <c r="B8" s="114" t="s">
        <v>9</v>
      </c>
      <c r="C8" s="115">
        <v>1908</v>
      </c>
      <c r="D8" s="116" t="s">
        <v>5</v>
      </c>
      <c r="E8" s="117">
        <v>46</v>
      </c>
      <c r="F8" s="118">
        <v>5</v>
      </c>
      <c r="G8" s="118">
        <v>25</v>
      </c>
      <c r="H8" s="118">
        <v>44</v>
      </c>
      <c r="I8" s="118">
        <v>91</v>
      </c>
      <c r="J8" s="118">
        <v>1</v>
      </c>
      <c r="K8" s="118">
        <v>2</v>
      </c>
      <c r="L8" s="118">
        <v>12</v>
      </c>
      <c r="M8" s="118">
        <v>94</v>
      </c>
      <c r="N8" s="90">
        <v>5</v>
      </c>
      <c r="O8" s="90"/>
      <c r="P8" s="90"/>
      <c r="Q8" s="90"/>
      <c r="R8" s="90">
        <v>4</v>
      </c>
      <c r="S8" s="90"/>
      <c r="T8" s="119">
        <v>5</v>
      </c>
      <c r="U8" s="90">
        <v>9</v>
      </c>
      <c r="V8" s="90"/>
      <c r="W8" s="90">
        <v>2</v>
      </c>
      <c r="X8" s="90">
        <v>2</v>
      </c>
      <c r="Y8" s="90"/>
      <c r="Z8" s="90">
        <v>1</v>
      </c>
      <c r="AA8" s="90"/>
      <c r="AB8" s="90"/>
      <c r="AC8" s="90"/>
      <c r="AD8" s="90"/>
      <c r="AE8" s="90"/>
      <c r="AF8" s="90"/>
      <c r="AG8" s="120"/>
    </row>
    <row r="9" spans="1:40" ht="44.4" customHeight="1" x14ac:dyDescent="0.3">
      <c r="A9" s="121" t="s">
        <v>122</v>
      </c>
      <c r="B9" s="59" t="s">
        <v>10</v>
      </c>
      <c r="C9" s="60">
        <v>1908</v>
      </c>
      <c r="D9" s="61" t="s">
        <v>6</v>
      </c>
      <c r="E9" s="82">
        <v>33</v>
      </c>
      <c r="F9" s="72"/>
      <c r="G9" s="72">
        <v>2</v>
      </c>
      <c r="H9" s="72">
        <v>57</v>
      </c>
      <c r="I9" s="72">
        <v>16</v>
      </c>
      <c r="J9" s="72">
        <v>4</v>
      </c>
      <c r="K9" s="72"/>
      <c r="L9" s="72">
        <v>1</v>
      </c>
      <c r="M9" s="72">
        <v>62</v>
      </c>
      <c r="N9" s="76">
        <v>14</v>
      </c>
      <c r="O9" s="76"/>
      <c r="P9" s="76"/>
      <c r="Q9" s="76"/>
      <c r="R9" s="76"/>
      <c r="S9" s="76"/>
      <c r="T9" s="77"/>
      <c r="U9" s="76">
        <v>33</v>
      </c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122"/>
      <c r="AH9" s="50"/>
      <c r="AI9" s="50"/>
    </row>
    <row r="10" spans="1:40" ht="49.8" customHeight="1" x14ac:dyDescent="0.3">
      <c r="A10" s="123" t="s">
        <v>114</v>
      </c>
      <c r="B10" s="62" t="s">
        <v>101</v>
      </c>
      <c r="C10" s="54">
        <v>1909</v>
      </c>
      <c r="D10" s="63" t="s">
        <v>5</v>
      </c>
      <c r="E10" s="80">
        <v>5</v>
      </c>
      <c r="F10" s="69"/>
      <c r="G10" s="69">
        <v>14</v>
      </c>
      <c r="H10" s="69">
        <v>16</v>
      </c>
      <c r="I10" s="69">
        <v>17</v>
      </c>
      <c r="J10" s="69"/>
      <c r="K10" s="69">
        <v>1</v>
      </c>
      <c r="L10" s="69">
        <v>6</v>
      </c>
      <c r="M10" s="69">
        <v>35</v>
      </c>
      <c r="N10" s="73">
        <v>0</v>
      </c>
      <c r="O10" s="73"/>
      <c r="P10" s="73"/>
      <c r="Q10" s="73"/>
      <c r="R10" s="73"/>
      <c r="S10" s="73"/>
      <c r="T10" s="78"/>
      <c r="U10" s="73"/>
      <c r="V10" s="73"/>
      <c r="W10" s="73">
        <v>1</v>
      </c>
      <c r="X10" s="73"/>
      <c r="Y10" s="73"/>
      <c r="Z10" s="73"/>
      <c r="AA10" s="73"/>
      <c r="AB10" s="73"/>
      <c r="AC10" s="73"/>
      <c r="AD10" s="73"/>
      <c r="AE10" s="73"/>
      <c r="AF10" s="73"/>
      <c r="AG10" s="104"/>
      <c r="AH10" s="50"/>
      <c r="AI10" s="50"/>
    </row>
    <row r="11" spans="1:40" ht="49.8" customHeight="1" x14ac:dyDescent="0.3">
      <c r="A11" s="124" t="s">
        <v>74</v>
      </c>
      <c r="B11" s="65" t="s">
        <v>11</v>
      </c>
      <c r="C11" s="54">
        <v>1909</v>
      </c>
      <c r="D11" s="66" t="s">
        <v>6</v>
      </c>
      <c r="E11" s="80">
        <v>4</v>
      </c>
      <c r="F11" s="69"/>
      <c r="G11" s="69">
        <v>9</v>
      </c>
      <c r="H11" s="69">
        <v>12</v>
      </c>
      <c r="I11" s="69">
        <v>11</v>
      </c>
      <c r="J11" s="69"/>
      <c r="K11" s="69"/>
      <c r="L11" s="69">
        <v>11</v>
      </c>
      <c r="M11" s="69">
        <v>18</v>
      </c>
      <c r="N11" s="73"/>
      <c r="O11" s="73"/>
      <c r="P11" s="73"/>
      <c r="Q11" s="73"/>
      <c r="R11" s="73"/>
      <c r="S11" s="73"/>
      <c r="T11" s="78"/>
      <c r="U11" s="73">
        <v>1</v>
      </c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104"/>
      <c r="AH11" s="50"/>
      <c r="AI11" s="50"/>
    </row>
    <row r="12" spans="1:40" ht="40.200000000000003" customHeight="1" thickBot="1" x14ac:dyDescent="0.35">
      <c r="A12" s="54" t="s">
        <v>99</v>
      </c>
      <c r="B12" s="65" t="s">
        <v>12</v>
      </c>
      <c r="C12" s="64">
        <v>1910</v>
      </c>
      <c r="D12" s="63" t="s">
        <v>5</v>
      </c>
      <c r="E12" s="80">
        <v>19</v>
      </c>
      <c r="F12" s="69"/>
      <c r="G12" s="69">
        <v>4</v>
      </c>
      <c r="H12" s="69">
        <v>6</v>
      </c>
      <c r="I12" s="69">
        <v>10</v>
      </c>
      <c r="J12" s="69">
        <v>3</v>
      </c>
      <c r="K12" s="69">
        <v>5</v>
      </c>
      <c r="L12" s="69">
        <v>2</v>
      </c>
      <c r="M12" s="69">
        <v>11</v>
      </c>
      <c r="N12" s="73"/>
      <c r="O12" s="73">
        <v>14</v>
      </c>
      <c r="P12" s="73"/>
      <c r="Q12" s="73">
        <v>2</v>
      </c>
      <c r="R12" s="73"/>
      <c r="S12" s="73"/>
      <c r="T12" s="78">
        <v>8</v>
      </c>
      <c r="U12" s="73">
        <v>11</v>
      </c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143"/>
      <c r="AH12" s="144"/>
      <c r="AI12" s="50"/>
    </row>
    <row r="13" spans="1:40" s="56" customFormat="1" ht="40.200000000000003" customHeight="1" thickBot="1" x14ac:dyDescent="0.35">
      <c r="A13" s="134" t="s">
        <v>123</v>
      </c>
      <c r="B13" s="135" t="s">
        <v>116</v>
      </c>
      <c r="C13" s="136">
        <v>1910</v>
      </c>
      <c r="D13" s="137" t="s">
        <v>115</v>
      </c>
      <c r="E13" s="138">
        <v>8</v>
      </c>
      <c r="F13" s="139"/>
      <c r="G13" s="139">
        <v>17</v>
      </c>
      <c r="H13" s="139">
        <v>8</v>
      </c>
      <c r="I13" s="139">
        <v>14</v>
      </c>
      <c r="J13" s="139"/>
      <c r="K13" s="139"/>
      <c r="L13" s="139"/>
      <c r="M13" s="139">
        <v>56</v>
      </c>
      <c r="N13" s="140"/>
      <c r="O13" s="140"/>
      <c r="P13" s="140"/>
      <c r="Q13" s="140"/>
      <c r="R13" s="140"/>
      <c r="S13" s="140"/>
      <c r="T13" s="141">
        <v>1</v>
      </c>
      <c r="U13" s="140">
        <v>1</v>
      </c>
      <c r="V13" s="140"/>
      <c r="W13" s="140"/>
      <c r="X13" s="140"/>
      <c r="Y13" s="140"/>
      <c r="Z13" s="140">
        <v>1</v>
      </c>
      <c r="AA13" s="140"/>
      <c r="AB13" s="140"/>
      <c r="AC13" s="140"/>
      <c r="AD13" s="140"/>
      <c r="AE13" s="140"/>
      <c r="AF13" s="140"/>
      <c r="AG13" s="142"/>
      <c r="AH13" s="67"/>
      <c r="AI13" s="67"/>
    </row>
    <row r="14" spans="1:40" s="57" customFormat="1" ht="40.200000000000003" customHeight="1" thickTop="1" x14ac:dyDescent="0.3">
      <c r="A14" s="130" t="s">
        <v>73</v>
      </c>
      <c r="B14" s="131" t="s">
        <v>15</v>
      </c>
      <c r="C14" s="131">
        <v>1911</v>
      </c>
      <c r="D14" s="132" t="s">
        <v>5</v>
      </c>
      <c r="E14" s="81">
        <v>13</v>
      </c>
      <c r="F14" s="71"/>
      <c r="G14" s="71"/>
      <c r="H14" s="71">
        <v>11</v>
      </c>
      <c r="I14" s="71">
        <v>11</v>
      </c>
      <c r="J14" s="71"/>
      <c r="K14" s="71">
        <v>9</v>
      </c>
      <c r="L14" s="71">
        <v>2</v>
      </c>
      <c r="M14" s="71">
        <v>25</v>
      </c>
      <c r="N14" s="74">
        <v>6</v>
      </c>
      <c r="O14" s="74"/>
      <c r="P14" s="74"/>
      <c r="Q14" s="74"/>
      <c r="R14" s="74"/>
      <c r="S14" s="74"/>
      <c r="T14" s="75"/>
      <c r="U14" s="74">
        <v>7</v>
      </c>
      <c r="V14" s="74"/>
      <c r="W14" s="74">
        <v>1</v>
      </c>
      <c r="X14" s="74"/>
      <c r="Y14" s="74"/>
      <c r="Z14" s="74">
        <v>2</v>
      </c>
      <c r="AA14" s="74"/>
      <c r="AB14" s="74"/>
      <c r="AC14" s="74"/>
      <c r="AD14" s="74"/>
      <c r="AE14" s="74"/>
      <c r="AF14" s="74"/>
      <c r="AG14" s="133"/>
      <c r="AH14" s="68"/>
      <c r="AI14" s="68"/>
    </row>
    <row r="15" spans="1:40" s="57" customFormat="1" ht="41.4" customHeight="1" x14ac:dyDescent="0.3">
      <c r="A15" s="121" t="s">
        <v>100</v>
      </c>
      <c r="B15" s="59" t="s">
        <v>17</v>
      </c>
      <c r="C15" s="60">
        <v>1912</v>
      </c>
      <c r="D15" s="61" t="s">
        <v>5</v>
      </c>
      <c r="E15" s="82">
        <v>5</v>
      </c>
      <c r="F15" s="72"/>
      <c r="G15" s="72"/>
      <c r="H15" s="72">
        <v>13</v>
      </c>
      <c r="I15" s="72">
        <v>15</v>
      </c>
      <c r="J15" s="72"/>
      <c r="K15" s="72"/>
      <c r="L15" s="72">
        <v>1</v>
      </c>
      <c r="M15" s="72">
        <v>35</v>
      </c>
      <c r="N15" s="76"/>
      <c r="O15" s="76"/>
      <c r="P15" s="76"/>
      <c r="Q15" s="76"/>
      <c r="R15" s="76"/>
      <c r="S15" s="76"/>
      <c r="T15" s="77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122"/>
      <c r="AH15" s="68"/>
      <c r="AI15" s="68"/>
    </row>
    <row r="16" spans="1:40" s="57" customFormat="1" ht="34.799999999999997" customHeight="1" x14ac:dyDescent="0.3">
      <c r="A16" s="123" t="s">
        <v>30</v>
      </c>
      <c r="B16" s="65" t="s">
        <v>18</v>
      </c>
      <c r="C16" s="64">
        <v>1913</v>
      </c>
      <c r="D16" s="63" t="s">
        <v>5</v>
      </c>
      <c r="E16" s="80">
        <v>2</v>
      </c>
      <c r="F16" s="69"/>
      <c r="G16" s="69">
        <v>5</v>
      </c>
      <c r="H16" s="69">
        <v>48</v>
      </c>
      <c r="I16" s="69">
        <v>36</v>
      </c>
      <c r="J16" s="69"/>
      <c r="K16" s="69"/>
      <c r="L16" s="69">
        <v>4</v>
      </c>
      <c r="M16" s="69">
        <v>97</v>
      </c>
      <c r="N16" s="73">
        <v>19</v>
      </c>
      <c r="O16" s="73"/>
      <c r="P16" s="73"/>
      <c r="Q16" s="73"/>
      <c r="R16" s="73"/>
      <c r="S16" s="73"/>
      <c r="T16" s="78"/>
      <c r="U16" s="73">
        <v>26</v>
      </c>
      <c r="V16" s="73"/>
      <c r="W16" s="73">
        <v>15</v>
      </c>
      <c r="X16" s="73"/>
      <c r="Y16" s="73"/>
      <c r="Z16" s="73">
        <v>5</v>
      </c>
      <c r="AA16" s="73"/>
      <c r="AB16" s="73"/>
      <c r="AC16" s="73"/>
      <c r="AD16" s="73"/>
      <c r="AE16" s="73"/>
      <c r="AF16" s="73"/>
      <c r="AG16" s="104"/>
      <c r="AH16" s="68"/>
      <c r="AI16" s="68"/>
    </row>
    <row r="17" spans="1:38" s="58" customFormat="1" ht="42" customHeight="1" thickBot="1" x14ac:dyDescent="0.35">
      <c r="A17" s="105" t="s">
        <v>70</v>
      </c>
      <c r="B17" s="106" t="s">
        <v>19</v>
      </c>
      <c r="C17" s="107">
        <v>1914</v>
      </c>
      <c r="D17" s="108" t="s">
        <v>6</v>
      </c>
      <c r="E17" s="109">
        <v>1</v>
      </c>
      <c r="F17" s="110"/>
      <c r="G17" s="110">
        <v>18</v>
      </c>
      <c r="H17" s="110">
        <v>32</v>
      </c>
      <c r="I17" s="110">
        <v>43</v>
      </c>
      <c r="J17" s="110"/>
      <c r="K17" s="110"/>
      <c r="L17" s="110"/>
      <c r="M17" s="110">
        <v>36</v>
      </c>
      <c r="N17" s="111">
        <v>13</v>
      </c>
      <c r="O17" s="111"/>
      <c r="P17" s="111">
        <v>8</v>
      </c>
      <c r="Q17" s="111"/>
      <c r="R17" s="111"/>
      <c r="S17" s="111"/>
      <c r="T17" s="125">
        <v>5</v>
      </c>
      <c r="U17" s="111">
        <v>24</v>
      </c>
      <c r="V17" s="111"/>
      <c r="W17" s="111"/>
      <c r="X17" s="111">
        <v>4</v>
      </c>
      <c r="Y17" s="111"/>
      <c r="Z17" s="111">
        <v>9</v>
      </c>
      <c r="AA17" s="111"/>
      <c r="AB17" s="111"/>
      <c r="AC17" s="111"/>
      <c r="AD17" s="111"/>
      <c r="AE17" s="111"/>
      <c r="AF17" s="111"/>
      <c r="AG17" s="112"/>
    </row>
    <row r="18" spans="1:38" ht="33.6" customHeight="1" thickTop="1" x14ac:dyDescent="0.3">
      <c r="A18" s="27"/>
      <c r="B18" s="28"/>
      <c r="C18" s="28"/>
      <c r="D18" s="28"/>
      <c r="E18" s="24"/>
      <c r="F18" s="126">
        <f t="shared" ref="F18:AG18" si="0">SUM(F3:F17)</f>
        <v>9</v>
      </c>
      <c r="G18" s="126">
        <f t="shared" si="0"/>
        <v>154</v>
      </c>
      <c r="H18" s="126">
        <f t="shared" si="0"/>
        <v>319</v>
      </c>
      <c r="I18" s="126">
        <f t="shared" si="0"/>
        <v>402</v>
      </c>
      <c r="J18" s="126">
        <f t="shared" si="0"/>
        <v>13</v>
      </c>
      <c r="K18" s="126">
        <f t="shared" si="0"/>
        <v>32</v>
      </c>
      <c r="L18" s="126">
        <f t="shared" si="0"/>
        <v>78</v>
      </c>
      <c r="M18" s="126">
        <f t="shared" si="0"/>
        <v>715</v>
      </c>
      <c r="N18" s="127">
        <f t="shared" si="0"/>
        <v>69</v>
      </c>
      <c r="O18" s="127">
        <f t="shared" si="0"/>
        <v>14</v>
      </c>
      <c r="P18" s="127">
        <f t="shared" si="0"/>
        <v>9</v>
      </c>
      <c r="Q18" s="127">
        <f t="shared" si="0"/>
        <v>16</v>
      </c>
      <c r="R18" s="127">
        <f t="shared" si="0"/>
        <v>5</v>
      </c>
      <c r="S18" s="127">
        <f t="shared" si="0"/>
        <v>9</v>
      </c>
      <c r="T18" s="127">
        <f t="shared" si="0"/>
        <v>40</v>
      </c>
      <c r="U18" s="127">
        <f t="shared" si="0"/>
        <v>159</v>
      </c>
      <c r="V18" s="127">
        <f t="shared" si="0"/>
        <v>14</v>
      </c>
      <c r="W18" s="127">
        <f t="shared" si="0"/>
        <v>21</v>
      </c>
      <c r="X18" s="128">
        <f t="shared" si="0"/>
        <v>6</v>
      </c>
      <c r="Y18" s="128">
        <f t="shared" si="0"/>
        <v>3</v>
      </c>
      <c r="Z18" s="128">
        <f t="shared" si="0"/>
        <v>24</v>
      </c>
      <c r="AA18" s="128">
        <f t="shared" si="0"/>
        <v>10</v>
      </c>
      <c r="AB18" s="128">
        <f t="shared" si="0"/>
        <v>4</v>
      </c>
      <c r="AC18" s="128">
        <f t="shared" si="0"/>
        <v>1</v>
      </c>
      <c r="AD18" s="128">
        <f t="shared" si="0"/>
        <v>1</v>
      </c>
      <c r="AE18" s="128">
        <f t="shared" si="0"/>
        <v>0</v>
      </c>
      <c r="AF18" s="128">
        <f t="shared" si="0"/>
        <v>1</v>
      </c>
      <c r="AG18" s="128">
        <f t="shared" si="0"/>
        <v>0</v>
      </c>
    </row>
    <row r="19" spans="1:38" ht="21" x14ac:dyDescent="0.3">
      <c r="A19" s="39" t="s">
        <v>105</v>
      </c>
      <c r="B19" s="40"/>
      <c r="F19" s="37" t="s">
        <v>95</v>
      </c>
      <c r="G19" s="37"/>
      <c r="H19" s="37"/>
      <c r="I19" s="37"/>
      <c r="J19" s="37"/>
      <c r="K19" s="37"/>
      <c r="L19" s="37"/>
      <c r="M19" s="37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4"/>
      <c r="AI19" s="34"/>
      <c r="AJ19" s="34"/>
      <c r="AK19" s="29"/>
      <c r="AL19" s="29"/>
    </row>
    <row r="20" spans="1:38" ht="15.6" customHeight="1" x14ac:dyDescent="0.3">
      <c r="A20" s="41"/>
      <c r="B20" s="40"/>
    </row>
    <row r="21" spans="1:38" ht="15.6" customHeight="1" x14ac:dyDescent="0.3">
      <c r="A21" s="35" t="s">
        <v>106</v>
      </c>
      <c r="B21" s="36"/>
    </row>
    <row r="22" spans="1:38" ht="15.6" customHeight="1" x14ac:dyDescent="0.3">
      <c r="A22" s="35"/>
      <c r="B22" s="36"/>
    </row>
  </sheetData>
  <sortState xmlns:xlrd2="http://schemas.microsoft.com/office/spreadsheetml/2017/richdata2" columnSort="1" ref="A1:AJ22">
    <sortCondition ref="N2:AH2"/>
  </sortState>
  <mergeCells count="8">
    <mergeCell ref="AH19:AJ19"/>
    <mergeCell ref="A21:B22"/>
    <mergeCell ref="A1:D1"/>
    <mergeCell ref="N1:W1"/>
    <mergeCell ref="F1:M1"/>
    <mergeCell ref="F19:M19"/>
    <mergeCell ref="N19:AG19"/>
    <mergeCell ref="A19:B20"/>
  </mergeCells>
  <conditionalFormatting sqref="A3:A10 A12 A14:A17">
    <cfRule type="colorScale" priority="104">
      <colorScale>
        <cfvo type="min"/>
        <cfvo type="max"/>
        <color rgb="FF63BE7B"/>
        <color rgb="FFFCFCFF"/>
      </colorScale>
    </cfRule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{3C15854A-A618-4512-9EED-1C1DB3123471}</x14:id>
        </ext>
      </extLst>
    </cfRule>
  </conditionalFormatting>
  <conditionalFormatting sqref="E3:E17">
    <cfRule type="cellIs" dxfId="9" priority="19" operator="greaterThan">
      <formula>116.5</formula>
    </cfRule>
  </conditionalFormatting>
  <conditionalFormatting sqref="F3:F4">
    <cfRule type="cellIs" dxfId="8" priority="15" operator="greaterThan">
      <formula>4.5</formula>
    </cfRule>
  </conditionalFormatting>
  <conditionalFormatting sqref="G3:G4">
    <cfRule type="cellIs" dxfId="7" priority="14" operator="greaterThan">
      <formula>35</formula>
    </cfRule>
  </conditionalFormatting>
  <conditionalFormatting sqref="H3:H4">
    <cfRule type="cellIs" dxfId="6" priority="13" operator="greaterThan">
      <formula>110</formula>
    </cfRule>
  </conditionalFormatting>
  <conditionalFormatting sqref="I3:I4">
    <cfRule type="cellIs" dxfId="5" priority="12" operator="greaterThan">
      <formula>139</formula>
    </cfRule>
  </conditionalFormatting>
  <conditionalFormatting sqref="K3:K4">
    <cfRule type="cellIs" dxfId="4" priority="10" operator="greaterThan">
      <formula>12</formula>
    </cfRule>
  </conditionalFormatting>
  <conditionalFormatting sqref="L3:L4">
    <cfRule type="cellIs" dxfId="3" priority="9" operator="greaterThan">
      <formula>20</formula>
    </cfRule>
  </conditionalFormatting>
  <conditionalFormatting sqref="M3:M4">
    <cfRule type="cellIs" dxfId="2" priority="8" operator="greaterThan">
      <formula>160</formula>
    </cfRule>
  </conditionalFormatting>
  <conditionalFormatting sqref="N3:N4">
    <cfRule type="cellIs" dxfId="1" priority="7" operator="greaterThan">
      <formula>24</formula>
    </cfRule>
  </conditionalFormatting>
  <conditionalFormatting sqref="P3:P17">
    <cfRule type="cellIs" dxfId="0" priority="1" operator="greaterThan">
      <formula>53</formula>
    </cfRule>
  </conditionalFormatting>
  <hyperlinks>
    <hyperlink ref="D17" r:id="rId1" display="https://archive.org/details/throughspainreco00dickrich/page/n13/mode/2up" xr:uid="{B65BD2F7-3030-4DD8-9E66-829BA23D7C93}"/>
    <hyperlink ref="D16" r:id="rId2" display="https://www.gutenberg.org/ebooks/7430" xr:uid="{BC5C28BE-651A-4CD9-B459-BBBE27878BB5}"/>
    <hyperlink ref="D15" r:id="rId3" display="https://www.gutenberg.org/ebooks/40201" xr:uid="{B338EA06-0898-4DB5-8BB2-0C91C4782DDB}"/>
    <hyperlink ref="D9" r:id="rId4" display="https://archive.org/details/sunshadowinspain00elliuoft" xr:uid="{1BBD192C-944F-4D78-A20A-3AD5A49D9F1D}"/>
    <hyperlink ref="D7" r:id="rId5" display="https://www.gutenberg.org/ebooks/27252" xr:uid="{F4D48205-12A1-4E68-96EF-62F6181832FA}"/>
    <hyperlink ref="D6" r:id="rId6" display="https://archive.org/details/atrampinspain00unkngoog/page/n8/mode/2up" xr:uid="{301E4A48-EEEE-4488-BADA-AC13B76B83A8}"/>
    <hyperlink ref="D5" r:id="rId7" display="https://www.gutenberg.org/ebooks/59944" xr:uid="{B79205B5-91A6-46F0-A96E-62FDEEDBCFF0}"/>
    <hyperlink ref="D3" r:id="rId8" display="https://www.gutenberg.org/ebooks/38767" xr:uid="{B946F2F7-514E-4B2B-B04B-CF82F1CABAB3}"/>
    <hyperlink ref="D8" r:id="rId9" display="https://www.gutenberg.org/ebooks/37944" xr:uid="{B6F7DD07-8261-472F-A654-584BC2D9E8C2}"/>
    <hyperlink ref="D12" r:id="rId10" display="https://www.gutenberg.org/ebooks/41593" xr:uid="{54EA4656-F2CA-412B-A878-1F8ECD46BD82}"/>
    <hyperlink ref="D10" r:id="rId11" display="https://www.gutenberg.org/ebooks/40356" xr:uid="{D8488F9C-769D-4874-8813-2FEB4D192DC9}"/>
    <hyperlink ref="D4" r:id="rId12" display="https://archive.org/details/landofdons00will/page/n19/mode/2up" xr:uid="{7F43A86B-9BAB-4E8A-B804-0727156123A0}"/>
    <hyperlink ref="D14" r:id="rId13" display="https://www.gutenberg.org/ebooks/40357" xr:uid="{EAE024E8-79A2-4D96-BFB5-FE7227BE9EF7}"/>
    <hyperlink ref="D11" r:id="rId14" display="https://archive.org/details/spainoftodaynarr00shaw/page/n11/mode/2up" xr:uid="{745B2881-9608-47CD-91FE-5D658A22ABC1}"/>
    <hyperlink ref="D13" r:id="rId15" display="https://www.gutenberg.org/ebooks/author/39917" xr:uid="{35A74380-6EE2-4531-B4EF-1A23B374EDAB}"/>
  </hyperlinks>
  <pageMargins left="0.70866141732283472" right="0.70866141732283472" top="0.74803149606299213" bottom="0.74803149606299213" header="0.31496062992125984" footer="0.31496062992125984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5854A-A618-4512-9EED-1C1DB31234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A3:A10 A12 A14:A17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1E4D-883E-4343-8F83-09F91D0DECBF}">
  <dimension ref="A1:AQ29"/>
  <sheetViews>
    <sheetView zoomScale="60" zoomScaleNormal="60" workbookViewId="0">
      <selection activeCell="A14" sqref="A14:D14"/>
    </sheetView>
  </sheetViews>
  <sheetFormatPr baseColWidth="10" defaultColWidth="8.88671875" defaultRowHeight="15.6" x14ac:dyDescent="0.3"/>
  <cols>
    <col min="1" max="1" width="77.5546875" style="1" customWidth="1"/>
    <col min="2" max="2" width="49" style="1" customWidth="1"/>
    <col min="3" max="3" width="7.109375" style="1" customWidth="1"/>
    <col min="4" max="4" width="23.5546875" style="1" customWidth="1"/>
    <col min="5" max="5" width="26.33203125" style="1" customWidth="1"/>
    <col min="6" max="6" width="26.44140625" style="1" customWidth="1"/>
    <col min="7" max="7" width="21.6640625" style="1" customWidth="1"/>
    <col min="8" max="8" width="22.44140625" style="1" customWidth="1"/>
    <col min="9" max="9" width="8.88671875" style="1"/>
    <col min="10" max="10" width="38.33203125" style="1" customWidth="1"/>
    <col min="11" max="11" width="36.44140625" style="1" customWidth="1"/>
    <col min="12" max="12" width="8.88671875" style="1"/>
    <col min="13" max="13" width="20" style="1" customWidth="1"/>
    <col min="14" max="14" width="20.21875" style="1" customWidth="1"/>
    <col min="15" max="15" width="31.44140625" style="1" customWidth="1"/>
    <col min="16" max="16" width="23.5546875" style="1" customWidth="1"/>
    <col min="17" max="17" width="26.6640625" style="1" customWidth="1"/>
    <col min="18" max="18" width="13.6640625" style="1" customWidth="1"/>
    <col min="19" max="19" width="15.33203125" style="1" customWidth="1"/>
    <col min="20" max="21" width="8.88671875" style="1"/>
    <col min="22" max="22" width="22.44140625" style="1" customWidth="1"/>
    <col min="23" max="23" width="19.77734375" style="1" customWidth="1"/>
    <col min="24" max="24" width="16.21875" style="1" customWidth="1"/>
    <col min="25" max="25" width="19.5546875" style="1" customWidth="1"/>
    <col min="26" max="26" width="13.33203125" style="1" customWidth="1"/>
    <col min="27" max="27" width="18" style="1" customWidth="1"/>
    <col min="28" max="28" width="22.21875" style="1" customWidth="1"/>
    <col min="29" max="29" width="24.44140625" style="1" customWidth="1"/>
    <col min="30" max="30" width="40.44140625" style="1" customWidth="1"/>
    <col min="31" max="31" width="25.5546875" style="1" customWidth="1"/>
    <col min="32" max="33" width="28.109375" style="1" customWidth="1"/>
    <col min="34" max="34" width="22" style="1" customWidth="1"/>
    <col min="35" max="35" width="22.5546875" style="1" customWidth="1"/>
    <col min="36" max="36" width="22" style="1" customWidth="1"/>
    <col min="37" max="37" width="17" style="1" customWidth="1"/>
    <col min="38" max="38" width="16.109375" style="1" customWidth="1"/>
    <col min="39" max="39" width="8.88671875" style="1"/>
    <col min="40" max="40" width="15.5546875" style="1" customWidth="1"/>
    <col min="41" max="41" width="22.21875" style="1" customWidth="1"/>
    <col min="42" max="16384" width="8.88671875" style="1"/>
  </cols>
  <sheetData>
    <row r="1" spans="1:43" x14ac:dyDescent="0.3">
      <c r="A1" s="44" t="s">
        <v>25</v>
      </c>
      <c r="B1" s="45"/>
      <c r="C1" s="45"/>
      <c r="D1" s="45"/>
      <c r="E1" s="6"/>
      <c r="F1" s="7"/>
      <c r="G1" s="46" t="s">
        <v>24</v>
      </c>
      <c r="H1" s="46"/>
      <c r="I1" s="46"/>
      <c r="J1" s="46"/>
      <c r="K1" s="46"/>
      <c r="L1" s="46"/>
      <c r="M1" s="46"/>
      <c r="N1" s="46"/>
      <c r="O1" s="46"/>
      <c r="P1" s="47" t="s">
        <v>26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8" t="s">
        <v>26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9"/>
      <c r="AQ1" s="7"/>
    </row>
    <row r="2" spans="1:43" x14ac:dyDescent="0.3">
      <c r="A2" s="10" t="s">
        <v>31</v>
      </c>
      <c r="B2" s="10" t="s">
        <v>20</v>
      </c>
      <c r="C2" s="10" t="s">
        <v>21</v>
      </c>
      <c r="D2" s="10" t="s">
        <v>28</v>
      </c>
      <c r="E2" s="11" t="s">
        <v>94</v>
      </c>
      <c r="F2" s="12" t="s">
        <v>92</v>
      </c>
      <c r="G2" s="7" t="s">
        <v>4</v>
      </c>
      <c r="H2" s="13" t="s">
        <v>0</v>
      </c>
      <c r="I2" s="13" t="s">
        <v>1</v>
      </c>
      <c r="J2" s="13" t="s">
        <v>47</v>
      </c>
      <c r="K2" s="13" t="s">
        <v>35</v>
      </c>
      <c r="L2" s="13" t="s">
        <v>2</v>
      </c>
      <c r="M2" s="13" t="s">
        <v>3</v>
      </c>
      <c r="N2" s="13" t="s">
        <v>75</v>
      </c>
      <c r="O2" s="13" t="s">
        <v>46</v>
      </c>
      <c r="P2" s="14" t="s">
        <v>34</v>
      </c>
      <c r="Q2" s="14" t="s">
        <v>36</v>
      </c>
      <c r="R2" s="14" t="s">
        <v>33</v>
      </c>
      <c r="S2" s="14" t="s">
        <v>41</v>
      </c>
      <c r="T2" s="14" t="s">
        <v>42</v>
      </c>
      <c r="U2" s="14" t="s">
        <v>48</v>
      </c>
      <c r="V2" s="14" t="s">
        <v>51</v>
      </c>
      <c r="W2" s="14" t="s">
        <v>52</v>
      </c>
      <c r="X2" s="14" t="s">
        <v>54</v>
      </c>
      <c r="Y2" s="14" t="s">
        <v>55</v>
      </c>
      <c r="Z2" s="14" t="s">
        <v>56</v>
      </c>
      <c r="AA2" s="14" t="s">
        <v>58</v>
      </c>
      <c r="AB2" s="14" t="s">
        <v>57</v>
      </c>
      <c r="AC2" s="14" t="s">
        <v>60</v>
      </c>
      <c r="AD2" s="14" t="s">
        <v>61</v>
      </c>
      <c r="AE2" s="14" t="s">
        <v>62</v>
      </c>
      <c r="AF2" s="14" t="s">
        <v>63</v>
      </c>
      <c r="AG2" s="14" t="s">
        <v>64</v>
      </c>
      <c r="AH2" s="14" t="s">
        <v>65</v>
      </c>
      <c r="AI2" s="14" t="s">
        <v>66</v>
      </c>
      <c r="AJ2" s="14" t="s">
        <v>67</v>
      </c>
      <c r="AK2" s="14" t="s">
        <v>68</v>
      </c>
      <c r="AL2" s="14" t="s">
        <v>69</v>
      </c>
      <c r="AM2" s="14" t="s">
        <v>71</v>
      </c>
      <c r="AN2" s="14" t="s">
        <v>72</v>
      </c>
      <c r="AO2" s="14" t="s">
        <v>76</v>
      </c>
      <c r="AP2" s="14" t="s">
        <v>91</v>
      </c>
      <c r="AQ2" s="7"/>
    </row>
    <row r="3" spans="1:43" ht="23.4" customHeight="1" x14ac:dyDescent="0.3">
      <c r="A3" s="7" t="s">
        <v>29</v>
      </c>
      <c r="B3" s="15" t="s">
        <v>22</v>
      </c>
      <c r="C3" s="15">
        <v>1900</v>
      </c>
      <c r="D3" s="4" t="s">
        <v>5</v>
      </c>
      <c r="E3" s="2"/>
      <c r="F3" s="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31.2" customHeight="1" x14ac:dyDescent="0.3">
      <c r="A4" s="7" t="s">
        <v>27</v>
      </c>
      <c r="B4" s="15" t="s">
        <v>23</v>
      </c>
      <c r="C4" s="15">
        <v>1903</v>
      </c>
      <c r="D4" s="4" t="s">
        <v>5</v>
      </c>
      <c r="E4" s="2"/>
      <c r="F4" s="2"/>
      <c r="G4" s="7"/>
      <c r="H4" s="2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31.2" customHeight="1" x14ac:dyDescent="0.3">
      <c r="A5" s="7" t="s">
        <v>39</v>
      </c>
      <c r="B5" s="15" t="s">
        <v>40</v>
      </c>
      <c r="C5" s="15">
        <v>1904</v>
      </c>
      <c r="D5" s="4" t="s">
        <v>6</v>
      </c>
      <c r="E5" s="2"/>
      <c r="F5" s="2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ht="31.2" customHeight="1" x14ac:dyDescent="0.3">
      <c r="A6" s="5" t="s">
        <v>37</v>
      </c>
      <c r="B6" s="15" t="s">
        <v>32</v>
      </c>
      <c r="C6" s="15">
        <v>1905</v>
      </c>
      <c r="D6" s="4" t="s">
        <v>5</v>
      </c>
      <c r="E6" s="2"/>
      <c r="F6" s="2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ht="31.2" customHeight="1" x14ac:dyDescent="0.3">
      <c r="A7" s="5" t="s">
        <v>38</v>
      </c>
      <c r="B7" s="15" t="s">
        <v>7</v>
      </c>
      <c r="C7" s="15">
        <v>1906</v>
      </c>
      <c r="D7" s="4" t="s">
        <v>8</v>
      </c>
      <c r="E7" s="2"/>
      <c r="F7" s="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x14ac:dyDescent="0.3">
      <c r="A8" s="5" t="s">
        <v>44</v>
      </c>
      <c r="B8" s="15" t="s">
        <v>9</v>
      </c>
      <c r="C8" s="15">
        <v>1908</v>
      </c>
      <c r="D8" s="4" t="s">
        <v>5</v>
      </c>
      <c r="E8" s="2"/>
      <c r="F8" s="2"/>
      <c r="G8" s="7"/>
      <c r="H8" s="7"/>
      <c r="I8" s="7"/>
      <c r="J8" s="7"/>
      <c r="K8" s="7"/>
      <c r="L8" s="7"/>
      <c r="M8" s="7"/>
      <c r="N8" s="7"/>
      <c r="O8" s="7"/>
      <c r="P8" s="16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x14ac:dyDescent="0.3">
      <c r="A9" s="7" t="s">
        <v>43</v>
      </c>
      <c r="B9" s="15" t="s">
        <v>10</v>
      </c>
      <c r="C9" s="15">
        <v>1908</v>
      </c>
      <c r="D9" s="4" t="s">
        <v>6</v>
      </c>
      <c r="E9" s="2"/>
      <c r="F9" s="2"/>
      <c r="G9" s="7"/>
      <c r="H9" s="7"/>
      <c r="I9" s="7"/>
      <c r="J9" s="7"/>
      <c r="K9" s="7"/>
      <c r="L9" s="7"/>
      <c r="M9" s="7"/>
      <c r="N9" s="7"/>
      <c r="O9" s="7"/>
      <c r="P9" s="1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ht="31.2" customHeight="1" x14ac:dyDescent="0.3">
      <c r="A10" s="7" t="s">
        <v>74</v>
      </c>
      <c r="B10" s="15" t="s">
        <v>11</v>
      </c>
      <c r="C10" s="15">
        <v>1909</v>
      </c>
      <c r="D10" s="4" t="s">
        <v>6</v>
      </c>
      <c r="E10" s="2"/>
      <c r="F10" s="2"/>
      <c r="G10" s="7"/>
      <c r="H10" s="7"/>
      <c r="I10" s="7"/>
      <c r="J10" s="7"/>
      <c r="K10" s="7"/>
      <c r="L10" s="7"/>
      <c r="M10" s="7"/>
      <c r="N10" s="7"/>
      <c r="O10" s="7"/>
      <c r="P10" s="1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ht="31.2" customHeight="1" x14ac:dyDescent="0.3">
      <c r="A11" s="7" t="s">
        <v>53</v>
      </c>
      <c r="B11" s="15" t="s">
        <v>12</v>
      </c>
      <c r="C11" s="15">
        <v>1910</v>
      </c>
      <c r="D11" s="4" t="s">
        <v>5</v>
      </c>
      <c r="E11" s="2"/>
      <c r="F11" s="2"/>
      <c r="G11" s="7"/>
      <c r="H11" s="7"/>
      <c r="I11" s="7"/>
      <c r="J11" s="7"/>
      <c r="K11" s="7"/>
      <c r="L11" s="7"/>
      <c r="M11" s="7"/>
      <c r="N11" s="7"/>
      <c r="O11" s="7"/>
      <c r="P11" s="1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x14ac:dyDescent="0.3">
      <c r="A12" s="7" t="s">
        <v>45</v>
      </c>
      <c r="B12" s="15" t="s">
        <v>13</v>
      </c>
      <c r="C12" s="15">
        <v>1910</v>
      </c>
      <c r="D12" s="4" t="s">
        <v>6</v>
      </c>
      <c r="E12" s="2"/>
      <c r="F12" s="2"/>
      <c r="G12" s="7"/>
      <c r="H12" s="7"/>
      <c r="I12" s="7"/>
      <c r="J12" s="7"/>
      <c r="K12" s="7"/>
      <c r="L12" s="7"/>
      <c r="M12" s="7"/>
      <c r="N12" s="7"/>
      <c r="O12" s="7"/>
      <c r="P12" s="1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ht="31.2" customHeight="1" x14ac:dyDescent="0.3">
      <c r="A13" s="7" t="s">
        <v>50</v>
      </c>
      <c r="B13" s="15" t="s">
        <v>14</v>
      </c>
      <c r="C13" s="15">
        <v>1911</v>
      </c>
      <c r="D13" s="4" t="s">
        <v>6</v>
      </c>
      <c r="E13" s="2"/>
      <c r="F13" s="2"/>
      <c r="G13" s="7"/>
      <c r="H13" s="7"/>
      <c r="I13" s="7"/>
      <c r="J13" s="7"/>
      <c r="K13" s="7"/>
      <c r="L13" s="7"/>
      <c r="M13" s="7"/>
      <c r="N13" s="7"/>
      <c r="O13" s="7"/>
      <c r="P13" s="1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ht="31.2" customHeight="1" x14ac:dyDescent="0.3">
      <c r="A14" s="7" t="s">
        <v>73</v>
      </c>
      <c r="B14" s="15" t="s">
        <v>15</v>
      </c>
      <c r="C14" s="15">
        <v>1911</v>
      </c>
      <c r="D14" s="4" t="s">
        <v>5</v>
      </c>
      <c r="E14" s="2"/>
      <c r="F14" s="2"/>
      <c r="G14" s="7"/>
      <c r="H14" s="7"/>
      <c r="I14" s="7"/>
      <c r="J14" s="7"/>
      <c r="K14" s="7"/>
      <c r="L14" s="7"/>
      <c r="M14" s="7"/>
      <c r="N14" s="7"/>
      <c r="O14" s="7"/>
      <c r="P14" s="16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ht="31.2" customHeight="1" x14ac:dyDescent="0.3">
      <c r="A15" s="17" t="s">
        <v>59</v>
      </c>
      <c r="B15" s="15" t="s">
        <v>16</v>
      </c>
      <c r="C15" s="15">
        <v>1912</v>
      </c>
      <c r="D15" s="4" t="s">
        <v>6</v>
      </c>
      <c r="E15" s="2"/>
      <c r="F15" s="3"/>
      <c r="G15" s="23"/>
      <c r="H15" s="7"/>
      <c r="I15" s="7"/>
      <c r="J15" s="7"/>
      <c r="K15" s="7"/>
      <c r="L15" s="7"/>
      <c r="M15" s="7"/>
      <c r="N15" s="7"/>
      <c r="O15" s="7"/>
      <c r="P15" s="16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ht="31.2" customHeight="1" x14ac:dyDescent="0.3">
      <c r="A16" s="7" t="s">
        <v>49</v>
      </c>
      <c r="B16" s="15" t="s">
        <v>17</v>
      </c>
      <c r="C16" s="15">
        <v>1912</v>
      </c>
      <c r="D16" s="4" t="s">
        <v>5</v>
      </c>
      <c r="E16" s="2"/>
      <c r="F16" s="2"/>
      <c r="G16" s="7"/>
      <c r="H16" s="7"/>
      <c r="I16" s="7"/>
      <c r="J16" s="7"/>
      <c r="K16" s="7"/>
      <c r="L16" s="7"/>
      <c r="M16" s="7"/>
      <c r="N16" s="7"/>
      <c r="O16" s="7"/>
      <c r="P16" s="1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25.8" customHeight="1" x14ac:dyDescent="0.3">
      <c r="A17" s="7" t="s">
        <v>30</v>
      </c>
      <c r="B17" s="15" t="s">
        <v>18</v>
      </c>
      <c r="C17" s="15">
        <v>1913</v>
      </c>
      <c r="D17" s="4" t="s">
        <v>5</v>
      </c>
      <c r="E17" s="2"/>
      <c r="F17" s="2"/>
      <c r="G17" s="7"/>
      <c r="H17" s="7"/>
      <c r="I17" s="7"/>
      <c r="J17" s="7"/>
      <c r="K17" s="7"/>
      <c r="L17" s="7"/>
      <c r="M17" s="7"/>
      <c r="N17" s="7"/>
      <c r="O17" s="7"/>
      <c r="P17" s="16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ht="31.2" customHeight="1" x14ac:dyDescent="0.3">
      <c r="A18" s="7" t="s">
        <v>70</v>
      </c>
      <c r="B18" s="15" t="s">
        <v>19</v>
      </c>
      <c r="C18" s="15">
        <v>1914</v>
      </c>
      <c r="D18" s="4" t="s">
        <v>6</v>
      </c>
      <c r="E18" s="2"/>
      <c r="F18" s="2"/>
      <c r="G18" s="7"/>
      <c r="H18" s="7"/>
      <c r="I18" s="23"/>
      <c r="J18" s="7"/>
      <c r="K18" s="7"/>
      <c r="L18" s="7"/>
      <c r="M18" s="7"/>
      <c r="N18" s="7"/>
      <c r="O18" s="7"/>
      <c r="P18" s="16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ht="18" x14ac:dyDescent="0.3">
      <c r="A19" s="20"/>
      <c r="B19" s="20"/>
      <c r="C19" s="20"/>
      <c r="D19" s="20"/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7"/>
    </row>
    <row r="20" spans="1:43" ht="21" x14ac:dyDescent="0.3">
      <c r="A20" s="7"/>
      <c r="B20" s="7"/>
      <c r="C20" s="7"/>
      <c r="D20" s="7"/>
      <c r="E20" s="7"/>
      <c r="F20" s="7"/>
      <c r="G20" s="7"/>
      <c r="H20" s="42" t="s">
        <v>93</v>
      </c>
      <c r="I20" s="42"/>
      <c r="J20" s="42"/>
      <c r="K20" s="42"/>
      <c r="L20" s="21" t="s">
        <v>93</v>
      </c>
      <c r="M20" s="21"/>
      <c r="N20" s="21"/>
      <c r="O20" s="21"/>
      <c r="P20" s="21" t="s">
        <v>93</v>
      </c>
      <c r="Q20" s="21"/>
      <c r="R20" s="21"/>
      <c r="S20" s="21"/>
      <c r="T20" s="42"/>
      <c r="U20" s="42"/>
      <c r="V20" s="42"/>
      <c r="W20" s="42"/>
      <c r="X20" s="21" t="s">
        <v>93</v>
      </c>
      <c r="Y20" s="21"/>
      <c r="Z20" s="21"/>
      <c r="AA20" s="21"/>
      <c r="AB20" s="42"/>
      <c r="AC20" s="42"/>
      <c r="AD20" s="42"/>
      <c r="AE20" s="42"/>
      <c r="AF20" s="21" t="s">
        <v>93</v>
      </c>
      <c r="AG20" s="21"/>
      <c r="AH20" s="21"/>
      <c r="AI20" s="21"/>
      <c r="AJ20" s="42"/>
      <c r="AK20" s="42"/>
      <c r="AL20" s="42"/>
      <c r="AM20" s="42"/>
      <c r="AN20" s="42"/>
      <c r="AO20" s="42"/>
      <c r="AP20" s="42"/>
      <c r="AQ20" s="42"/>
    </row>
    <row r="21" spans="1:43" x14ac:dyDescent="0.3">
      <c r="A21" s="48" t="s">
        <v>77</v>
      </c>
      <c r="B21" s="4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43" x14ac:dyDescent="0.3">
      <c r="A22" s="43" t="s">
        <v>90</v>
      </c>
      <c r="B22" s="4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43" x14ac:dyDescent="0.3">
      <c r="A23" s="43"/>
      <c r="B23" s="43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x14ac:dyDescent="0.3">
      <c r="A24" s="7" t="s">
        <v>78</v>
      </c>
      <c r="B24" s="7" t="s">
        <v>79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x14ac:dyDescent="0.3">
      <c r="A25" s="7" t="s">
        <v>80</v>
      </c>
      <c r="B25" s="7" t="s">
        <v>81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x14ac:dyDescent="0.3">
      <c r="A26" s="7" t="s">
        <v>82</v>
      </c>
      <c r="B26" s="7" t="s">
        <v>83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x14ac:dyDescent="0.3">
      <c r="A27" s="7" t="s">
        <v>84</v>
      </c>
      <c r="B27" s="7" t="s">
        <v>85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x14ac:dyDescent="0.3">
      <c r="A28" s="7" t="s">
        <v>86</v>
      </c>
      <c r="B28" s="7" t="s">
        <v>87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43" x14ac:dyDescent="0.3">
      <c r="A29" s="7" t="s">
        <v>88</v>
      </c>
      <c r="B29" s="7" t="s">
        <v>89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</sheetData>
  <mergeCells count="10">
    <mergeCell ref="AJ20:AM20"/>
    <mergeCell ref="AN20:AQ20"/>
    <mergeCell ref="A22:B23"/>
    <mergeCell ref="A1:D1"/>
    <mergeCell ref="G1:O1"/>
    <mergeCell ref="P1:AB1"/>
    <mergeCell ref="A21:B21"/>
    <mergeCell ref="H20:K20"/>
    <mergeCell ref="T20:W20"/>
    <mergeCell ref="AB20:AE20"/>
  </mergeCells>
  <hyperlinks>
    <hyperlink ref="D18" r:id="rId1" display="https://archive.org/details/throughspainreco00dickrich/page/n13/mode/2up" xr:uid="{49F70C8E-814F-4858-8D27-BCEE9EC424B9}"/>
    <hyperlink ref="D17" r:id="rId2" display="https://www.gutenberg.org/ebooks/7430" xr:uid="{0015B78F-5CD1-4CD1-95B4-021968537F96}"/>
    <hyperlink ref="D16" r:id="rId3" display="https://www.gutenberg.org/ebooks/40201" xr:uid="{9A2E5515-8642-4F9E-A3A9-BC6314F95D1C}"/>
    <hyperlink ref="D15" r:id="rId4" display="https://archive.org/details/alongspainsriver00slatrich" xr:uid="{3C644478-112F-48D6-A9FB-D09370C43FF0}"/>
    <hyperlink ref="D14" r:id="rId5" display="https://www.gutenberg.org/ebooks/40357" xr:uid="{601601F3-BB18-482A-A52C-FD5795874CAD}"/>
    <hyperlink ref="D13" r:id="rId6" display="https://archive.org/details/TheCitiesOfSpain" xr:uid="{0A5B7848-F800-4981-99CC-27189286BDA3}"/>
    <hyperlink ref="D12" r:id="rId7" display="https://archive.org/details/heroicspain00oreirich/page/n9/mode/2up" xr:uid="{DDAEBE4E-38F0-4A87-9C81-68918CE7E5C3}"/>
    <hyperlink ref="D11" r:id="rId8" display="https://www.gutenberg.org/ebooks/41593" xr:uid="{B475FDA5-005C-4C64-95E4-E5D183A3960A}"/>
    <hyperlink ref="D10" r:id="rId9" display="https://archive.org/details/spainoftodaynarr00shaw/page/n11/mode/2up" xr:uid="{7B04AB28-15AF-40A4-A01B-4B8A3118E3B3}"/>
    <hyperlink ref="D9" r:id="rId10" display="https://archive.org/details/sunshadowinspain00elliuoft" xr:uid="{71E6993B-99DF-4781-8D22-BA25EA530215}"/>
    <hyperlink ref="D7" r:id="rId11" display="https://catalog.hathitrust.org/Record/006572085" xr:uid="{BC054471-9869-4A92-8FB5-CEDFCC92023C}"/>
    <hyperlink ref="D6" r:id="rId12" display="https://www.gutenberg.org/ebooks/27252" xr:uid="{CA63E800-A781-4CEA-90F8-8274D21BC6C3}"/>
    <hyperlink ref="D5" r:id="rId13" display="https://archive.org/details/atrampinspain00unkngoog/page/n8/mode/2up" xr:uid="{5ECC2422-F622-4377-9164-7D7F5A22FC2C}"/>
    <hyperlink ref="D4" r:id="rId14" display="https://www.gutenberg.org/ebooks/59944" xr:uid="{ACC357EB-B49D-4807-BDF1-7400CF43E50E}"/>
    <hyperlink ref="D3" r:id="rId15" display="https://www.gutenberg.org/ebooks/38767" xr:uid="{D2635CA1-E55F-408F-A820-5F4ADDC8F9BA}"/>
    <hyperlink ref="D8" r:id="rId16" display="https://www.gutenberg.org/ebooks/37944" xr:uid="{0F90C265-8934-4F7D-9530-20184257DC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2026-05-03T11:23:27Z</dcterms:modified>
</cp:coreProperties>
</file>