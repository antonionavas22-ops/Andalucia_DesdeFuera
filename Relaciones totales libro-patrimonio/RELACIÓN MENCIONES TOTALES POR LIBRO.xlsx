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4064D7A4-131A-429D-9D6B-3B17016426C6}" xr6:coauthVersionLast="47" xr6:coauthVersionMax="47" xr10:uidLastSave="{00000000-0000-0000-0000-000000000000}"/>
  <bookViews>
    <workbookView xWindow="-108" yWindow="-108" windowWidth="23256" windowHeight="12456" tabRatio="539" xr2:uid="{00000000-000D-0000-FFFF-FFFF00000000}"/>
  </bookViews>
  <sheets>
    <sheet name="RELACIÓN GENERAL" sheetId="1" r:id="rId1"/>
    <sheet name="Hoja1" sheetId="3" r:id="rId2"/>
    <sheet name="TO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G19" i="1"/>
  <c r="G18" i="1"/>
  <c r="G17" i="1"/>
  <c r="G16" i="1"/>
  <c r="G15" i="1"/>
  <c r="N5" i="1"/>
  <c r="L5" i="1"/>
  <c r="L20" i="1" s="1"/>
  <c r="M5" i="1"/>
  <c r="K5" i="1"/>
  <c r="I5" i="1"/>
  <c r="F19" i="1"/>
  <c r="F18" i="1"/>
  <c r="I7" i="1"/>
  <c r="F7" i="1" s="1"/>
  <c r="J5" i="1"/>
  <c r="G13" i="1"/>
  <c r="J6" i="1"/>
  <c r="G7" i="1"/>
  <c r="AO20" i="1"/>
  <c r="AC20" i="1"/>
  <c r="U20" i="1"/>
  <c r="W20" i="1"/>
  <c r="AM20" i="1"/>
  <c r="AQ20" i="1"/>
  <c r="AK20" i="1"/>
  <c r="Q20" i="1"/>
  <c r="S20" i="1"/>
  <c r="AA20" i="1"/>
  <c r="Y20" i="1"/>
  <c r="AG20" i="1"/>
  <c r="AE20" i="1"/>
  <c r="AI20" i="1"/>
  <c r="G12" i="1" l="1"/>
  <c r="G14" i="1"/>
  <c r="F14" i="1"/>
  <c r="F15" i="1"/>
  <c r="F16" i="1"/>
  <c r="G6" i="1"/>
  <c r="N20" i="1"/>
  <c r="G8" i="1"/>
  <c r="G9" i="1"/>
  <c r="G10" i="1"/>
  <c r="G11" i="1"/>
  <c r="F17" i="1"/>
  <c r="F6" i="1"/>
  <c r="F8" i="1"/>
  <c r="F9" i="1"/>
  <c r="F10" i="1"/>
  <c r="F11" i="1"/>
  <c r="F12" i="1"/>
  <c r="F13" i="1"/>
  <c r="F5" i="1"/>
  <c r="J20" i="1"/>
  <c r="G5" i="1"/>
  <c r="G20" i="1" l="1"/>
</calcChain>
</file>

<file path=xl/sharedStrings.xml><?xml version="1.0" encoding="utf-8"?>
<sst xmlns="http://schemas.openxmlformats.org/spreadsheetml/2006/main" count="163" uniqueCount="99">
  <si>
    <t>Gutenberg</t>
  </si>
  <si>
    <t>Internet archive</t>
  </si>
  <si>
    <t>Southern Spain</t>
  </si>
  <si>
    <t>Sun and Shadow in Spain</t>
  </si>
  <si>
    <t>Spain of to-day: a narrative guide to the country of the dons with suggestions for travellers</t>
  </si>
  <si>
    <t>Unexplored Spain</t>
  </si>
  <si>
    <t>Four months afoot in Spain</t>
  </si>
  <si>
    <t>Things seen in Spain</t>
  </si>
  <si>
    <t>Family spanish travel</t>
  </si>
  <si>
    <t>Thorugh Spain</t>
  </si>
  <si>
    <t>TÍTULO</t>
  </si>
  <si>
    <t>AÑO</t>
  </si>
  <si>
    <t>Impressions of Spain</t>
  </si>
  <si>
    <t>RELATOS DE VIAJES ANGLOSAJONES (1900-1914)</t>
  </si>
  <si>
    <t>Albert Frederick Calvert (1872-1946, UK)</t>
  </si>
  <si>
    <t>REPOSITORIO</t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</si>
  <si>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</si>
  <si>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AUTOR (fecha y nacionalidad angosajona)</t>
  </si>
  <si>
    <t xml:space="preserve">The land of the blessed virgin: sketches and impressions in Andalusia </t>
  </si>
  <si>
    <t>A tramp in Spain: from Andalusia to Andorra</t>
  </si>
  <si>
    <r>
      <t xml:space="preserve">Maude Howe Elliot (1854-1948,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</si>
  <si>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Duncan Dickinson ¿fecha de nacimiento y muerte? (UK)</t>
  </si>
  <si>
    <r>
      <t xml:space="preserve">Harry Alverson Franck (1881-1962,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</si>
  <si>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r>
      <t xml:space="preserve">Joseph Thompson Shaw (1874-1952,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</si>
  <si>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 xml:space="preserve">Bart Kennedy (1861-1930, UK) </t>
  </si>
  <si>
    <t>Maugham William Somerset (1874-1965, FRA/UK)</t>
  </si>
  <si>
    <t>Williams Leonard (1871-1934, UK)</t>
  </si>
  <si>
    <t xml:space="preserve">Abel Chapman (1851-1929, UK) y John Walter Buck (1843-1917 USA/UK) </t>
  </si>
  <si>
    <t xml:space="preserve">Catherine Gasquoine Hartley (1874-1921, Madagascar/UK) </t>
  </si>
  <si>
    <t>Cathedral cities of Spain</t>
  </si>
  <si>
    <t>The land of the Dons</t>
  </si>
  <si>
    <t xml:space="preserve"> Internet archive</t>
  </si>
  <si>
    <t>Collins, William Wiehe (1837, 1920, UK)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</si>
  <si>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</si>
  <si>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r>
      <rPr>
        <sz val="12"/>
        <color theme="1"/>
        <rFont val="Calibri"/>
        <family val="2"/>
        <scheme val="minor"/>
      </rPr>
      <t xml:space="preserve">Elizabeth Boyle O`Reilly (1874-1922, </t>
    </r>
    <r>
      <rPr>
        <b/>
        <sz val="12"/>
        <color theme="1"/>
        <rFont val="Calibri"/>
        <family val="2"/>
        <scheme val="minor"/>
      </rPr>
      <t>USA)</t>
    </r>
  </si>
  <si>
    <t xml:space="preserve"> Gutenberg </t>
  </si>
  <si>
    <t>Heroic  Spain</t>
  </si>
  <si>
    <t xml:space="preserve">Spanish Highway and Byways </t>
  </si>
  <si>
    <t>TOTALES</t>
  </si>
  <si>
    <t>TOTALES A LA DERECHA</t>
  </si>
  <si>
    <t>2. PATRIMONIO MATERIAL</t>
  </si>
  <si>
    <t>3. PATRIMONIO INMATERIAL</t>
  </si>
  <si>
    <t>C</t>
  </si>
  <si>
    <t>A</t>
  </si>
  <si>
    <t>T</t>
  </si>
  <si>
    <t>E</t>
  </si>
  <si>
    <t>G</t>
  </si>
  <si>
    <t>R</t>
  </si>
  <si>
    <t>I</t>
  </si>
  <si>
    <t>S</t>
  </si>
  <si>
    <t>O</t>
  </si>
  <si>
    <t>SUB</t>
  </si>
  <si>
    <t xml:space="preserve">T </t>
  </si>
  <si>
    <t>Todos los totales tienen fondo y negrita</t>
  </si>
  <si>
    <t>Con fondo oscuro las tres menciones más altas por metadato entre los 15 relatos. Más negrita, la mención más alta</t>
  </si>
  <si>
    <t>1. LOCALIDADES Y GENTILICIOS</t>
  </si>
  <si>
    <t>PALABRAS</t>
  </si>
  <si>
    <t>FRECUENCIA</t>
  </si>
  <si>
    <t xml:space="preserve">3. PATRIMONIO INMATERIAL </t>
  </si>
  <si>
    <t>2.4 VIAJE</t>
  </si>
  <si>
    <t>3.1 CARACTERÍSTICA</t>
  </si>
  <si>
    <t>3.2 GÉNERO</t>
  </si>
  <si>
    <t>propios y comunes</t>
  </si>
  <si>
    <t>alimentación, establecimiento y objeto</t>
  </si>
  <si>
    <t>transporte y animales</t>
  </si>
  <si>
    <t>general y personalidad</t>
  </si>
  <si>
    <t>femenino y masculino</t>
  </si>
  <si>
    <t>toreo, campo-ciudad y seguridad</t>
  </si>
  <si>
    <t>externo y interno</t>
  </si>
  <si>
    <t>toreo, feria, carnaval y religiosas</t>
  </si>
  <si>
    <t>PERIODOS</t>
  </si>
  <si>
    <t>MEDIA de palabras por relato: 110</t>
  </si>
  <si>
    <t>MEDIA de palabras por relato: 21</t>
  </si>
  <si>
    <t>MEDIA de palabras por relato: 1</t>
  </si>
  <si>
    <t>MEDIA de palabras por relato: 7</t>
  </si>
  <si>
    <t>MEDIA de palabras por relato: 8</t>
  </si>
  <si>
    <t>MEDIA de palabras por relato: 5</t>
  </si>
  <si>
    <t>MEDIA de palabras por relato: 22</t>
  </si>
  <si>
    <t>MEDIA de palabras por relato: 32</t>
  </si>
  <si>
    <t>MEDIA de palabras por relato: 27</t>
  </si>
  <si>
    <t>MEDIA de palabras por relato: 15</t>
  </si>
  <si>
    <t>MEDIA de palabras por relato: 14</t>
  </si>
  <si>
    <t>MEDIA de palabras por relato: 60</t>
  </si>
  <si>
    <t>MEDIA de palabras por relato: 16</t>
  </si>
  <si>
    <t>MEDIA de palabras por relato: 13</t>
  </si>
  <si>
    <t>MEDIA de palabras por relato: 116</t>
  </si>
  <si>
    <t>MEDIA de palabras por relato: 247</t>
  </si>
  <si>
    <t>FRECUENCIA TOTALES</t>
  </si>
  <si>
    <t>2.1 PÚBLICO</t>
  </si>
  <si>
    <r>
      <t>2.2 MONUMENTO</t>
    </r>
    <r>
      <rPr>
        <sz val="14"/>
        <color theme="1"/>
        <rFont val="Calibri"/>
        <family val="2"/>
        <scheme val="minor"/>
      </rPr>
      <t xml:space="preserve"> </t>
    </r>
  </si>
  <si>
    <t>2.3 ESPACIO NATURAL</t>
  </si>
  <si>
    <t>2.5 CONSUMO</t>
  </si>
  <si>
    <t xml:space="preserve">1.1  CAPITALES </t>
  </si>
  <si>
    <t xml:space="preserve">1.2 NO CAPITALES </t>
  </si>
  <si>
    <t xml:space="preserve">1.3 GENTILICIOS </t>
  </si>
  <si>
    <t>1.4 ANDALUCIA</t>
  </si>
  <si>
    <t>3.3 GRUPOS</t>
  </si>
  <si>
    <t>3.4 FIESTAS</t>
  </si>
  <si>
    <t>3.5 OFICIO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</si>
</sst>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8" tint="0.59999389629810485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EE6C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indexed="64"/>
      </bottom>
      <diagonal/>
    </border>
    <border>
      <left/>
      <right/>
      <top style="thin">
        <color auto="1"/>
      </top>
      <bottom style="thick">
        <color indexed="64"/>
      </bottom>
      <diagonal/>
    </border>
    <border>
      <left style="thin">
        <color auto="1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/>
      <bottom style="thin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/>
      <top style="thin">
        <color auto="1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11" fillId="4" borderId="32" xfId="0" applyFont="1" applyFill="1" applyBorder="1" applyAlignment="1">
      <alignment vertical="center" textRotation="255" wrapText="1"/>
    </xf>
    <xf numFmtId="0" fontId="11" fillId="4" borderId="28" xfId="0" applyFont="1" applyFill="1" applyBorder="1" applyAlignment="1">
      <alignment vertical="center" textRotation="255" wrapText="1"/>
    </xf>
    <xf numFmtId="0" fontId="11" fillId="4" borderId="31" xfId="0" applyFont="1" applyFill="1" applyBorder="1" applyAlignment="1">
      <alignment vertical="center" textRotation="255" wrapText="1"/>
    </xf>
    <xf numFmtId="0" fontId="11" fillId="4" borderId="30" xfId="0" applyFont="1" applyFill="1" applyBorder="1" applyAlignment="1">
      <alignment vertical="center" textRotation="255" wrapText="1"/>
    </xf>
    <xf numFmtId="0" fontId="5" fillId="0" borderId="31" xfId="0" applyFont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textRotation="255" wrapText="1"/>
    </xf>
    <xf numFmtId="0" fontId="5" fillId="11" borderId="16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14" borderId="34" xfId="0" applyFont="1" applyFill="1" applyBorder="1" applyAlignment="1">
      <alignment horizontal="center" vertical="center" wrapText="1"/>
    </xf>
    <xf numFmtId="0" fontId="11" fillId="4" borderId="50" xfId="0" applyFont="1" applyFill="1" applyBorder="1" applyAlignment="1">
      <alignment vertical="center" textRotation="255" wrapText="1"/>
    </xf>
    <xf numFmtId="0" fontId="6" fillId="0" borderId="36" xfId="1" applyFont="1" applyFill="1" applyBorder="1" applyAlignment="1">
      <alignment horizontal="center" vertical="center" wrapText="1"/>
    </xf>
    <xf numFmtId="0" fontId="6" fillId="0" borderId="51" xfId="1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55" xfId="0" applyFont="1" applyBorder="1" applyAlignment="1">
      <alignment horizontal="center" vertical="center" wrapText="1"/>
    </xf>
    <xf numFmtId="0" fontId="5" fillId="12" borderId="34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26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center" vertical="center" wrapText="1"/>
    </xf>
    <xf numFmtId="0" fontId="5" fillId="14" borderId="3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2" borderId="17" xfId="0" applyFont="1" applyFill="1" applyBorder="1" applyAlignment="1">
      <alignment horizontal="center" vertical="center"/>
    </xf>
    <xf numFmtId="0" fontId="2" fillId="13" borderId="2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3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 vertical="center"/>
    </xf>
    <xf numFmtId="0" fontId="6" fillId="12" borderId="17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2" fillId="14" borderId="14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vertical="center" wrapText="1"/>
    </xf>
    <xf numFmtId="0" fontId="2" fillId="14" borderId="18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1" fillId="15" borderId="50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13" borderId="35" xfId="0" applyFont="1" applyFill="1" applyBorder="1" applyAlignment="1">
      <alignment horizontal="center" vertical="center"/>
    </xf>
    <xf numFmtId="0" fontId="7" fillId="13" borderId="26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5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7" fillId="0" borderId="9" xfId="0" applyFont="1" applyBorder="1" applyAlignment="1">
      <alignment vertical="center"/>
    </xf>
    <xf numFmtId="0" fontId="5" fillId="7" borderId="48" xfId="0" applyFont="1" applyFill="1" applyBorder="1" applyAlignment="1">
      <alignment horizontal="center" vertical="center" wrapText="1"/>
    </xf>
    <xf numFmtId="0" fontId="7" fillId="5" borderId="51" xfId="0" applyFont="1" applyFill="1" applyBorder="1" applyAlignment="1">
      <alignment horizontal="center" vertical="center"/>
    </xf>
    <xf numFmtId="0" fontId="5" fillId="12" borderId="48" xfId="0" applyFont="1" applyFill="1" applyBorder="1" applyAlignment="1">
      <alignment horizontal="center" vertical="center" wrapText="1"/>
    </xf>
    <xf numFmtId="0" fontId="5" fillId="14" borderId="48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/>
    </xf>
    <xf numFmtId="0" fontId="5" fillId="11" borderId="56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5" fillId="12" borderId="56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2" fillId="0" borderId="55" xfId="0" applyFont="1" applyBorder="1" applyAlignment="1">
      <alignment vertical="center"/>
    </xf>
    <xf numFmtId="0" fontId="2" fillId="12" borderId="2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3" borderId="21" xfId="0" applyFont="1" applyFill="1" applyBorder="1" applyAlignment="1">
      <alignment horizontal="center" vertical="center"/>
    </xf>
    <xf numFmtId="0" fontId="14" fillId="11" borderId="17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13" borderId="21" xfId="0" applyFont="1" applyFill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/>
    </xf>
    <xf numFmtId="0" fontId="18" fillId="5" borderId="10" xfId="1" applyFont="1" applyFill="1" applyBorder="1" applyAlignment="1">
      <alignment horizontal="center" vertical="center" wrapText="1"/>
    </xf>
    <xf numFmtId="0" fontId="18" fillId="7" borderId="14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7" borderId="17" xfId="1" applyFont="1" applyFill="1" applyBorder="1" applyAlignment="1">
      <alignment horizontal="center" vertical="center" wrapText="1"/>
    </xf>
    <xf numFmtId="0" fontId="18" fillId="12" borderId="18" xfId="0" applyFont="1" applyFill="1" applyBorder="1" applyAlignment="1">
      <alignment horizontal="center" vertical="center"/>
    </xf>
    <xf numFmtId="0" fontId="18" fillId="12" borderId="17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center" vertical="center"/>
    </xf>
    <xf numFmtId="0" fontId="14" fillId="13" borderId="23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14" borderId="18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4" fillId="14" borderId="17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8" fillId="14" borderId="14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5" fillId="13" borderId="38" xfId="0" applyFont="1" applyFill="1" applyBorder="1" applyAlignment="1">
      <alignment horizontal="center" vertical="center" wrapText="1"/>
    </xf>
    <xf numFmtId="0" fontId="5" fillId="13" borderId="45" xfId="0" applyFont="1" applyFill="1" applyBorder="1" applyAlignment="1">
      <alignment horizontal="center" vertical="center" wrapText="1"/>
    </xf>
    <xf numFmtId="0" fontId="5" fillId="13" borderId="35" xfId="0" applyFont="1" applyFill="1" applyBorder="1" applyAlignment="1">
      <alignment horizontal="center" vertical="center" wrapText="1"/>
    </xf>
    <xf numFmtId="0" fontId="5" fillId="14" borderId="43" xfId="0" applyFont="1" applyFill="1" applyBorder="1" applyAlignment="1">
      <alignment horizontal="center" vertical="center" wrapText="1"/>
    </xf>
    <xf numFmtId="0" fontId="5" fillId="14" borderId="46" xfId="0" applyFont="1" applyFill="1" applyBorder="1" applyAlignment="1">
      <alignment horizontal="center" vertical="center" wrapText="1"/>
    </xf>
    <xf numFmtId="0" fontId="5" fillId="14" borderId="36" xfId="0" applyFont="1" applyFill="1" applyBorder="1" applyAlignment="1">
      <alignment horizontal="center" vertical="center" wrapText="1"/>
    </xf>
    <xf numFmtId="0" fontId="5" fillId="6" borderId="38" xfId="0" applyFont="1" applyFill="1" applyBorder="1" applyAlignment="1">
      <alignment horizontal="center" vertical="center" wrapText="1"/>
    </xf>
    <xf numFmtId="0" fontId="5" fillId="6" borderId="45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 wrapText="1"/>
    </xf>
    <xf numFmtId="0" fontId="5" fillId="5" borderId="45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5" fillId="11" borderId="43" xfId="0" applyFont="1" applyFill="1" applyBorder="1" applyAlignment="1">
      <alignment horizontal="center" vertical="center" wrapText="1"/>
    </xf>
    <xf numFmtId="0" fontId="5" fillId="11" borderId="46" xfId="0" applyFont="1" applyFill="1" applyBorder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12" borderId="43" xfId="0" applyFont="1" applyFill="1" applyBorder="1" applyAlignment="1">
      <alignment horizontal="center" vertical="center" wrapText="1"/>
    </xf>
    <xf numFmtId="0" fontId="5" fillId="12" borderId="46" xfId="0" applyFont="1" applyFill="1" applyBorder="1" applyAlignment="1">
      <alignment horizontal="center" vertical="center" wrapText="1"/>
    </xf>
    <xf numFmtId="0" fontId="5" fillId="12" borderId="36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left" vertical="center"/>
    </xf>
    <xf numFmtId="0" fontId="11" fillId="9" borderId="15" xfId="0" applyFont="1" applyFill="1" applyBorder="1" applyAlignment="1">
      <alignment horizontal="left" vertical="center"/>
    </xf>
    <xf numFmtId="0" fontId="11" fillId="9" borderId="11" xfId="0" applyFont="1" applyFill="1" applyBorder="1" applyAlignment="1">
      <alignment horizontal="left" vertical="center"/>
    </xf>
    <xf numFmtId="0" fontId="11" fillId="9" borderId="20" xfId="0" applyFont="1" applyFill="1" applyBorder="1" applyAlignment="1">
      <alignment horizontal="left" vertical="center"/>
    </xf>
    <xf numFmtId="0" fontId="11" fillId="8" borderId="15" xfId="0" applyFont="1" applyFill="1" applyBorder="1" applyAlignment="1">
      <alignment horizontal="left" vertical="center"/>
    </xf>
    <xf numFmtId="0" fontId="11" fillId="8" borderId="11" xfId="0" applyFont="1" applyFill="1" applyBorder="1" applyAlignment="1">
      <alignment horizontal="left" vertical="center"/>
    </xf>
    <xf numFmtId="0" fontId="15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9" borderId="20" xfId="0" applyFont="1" applyFill="1" applyBorder="1" applyAlignment="1">
      <alignment horizontal="center" vertical="center" wrapText="1"/>
    </xf>
    <xf numFmtId="0" fontId="11" fillId="15" borderId="15" xfId="0" applyFont="1" applyFill="1" applyBorder="1" applyAlignment="1">
      <alignment horizontal="center" vertical="center" wrapText="1"/>
    </xf>
    <xf numFmtId="0" fontId="11" fillId="15" borderId="11" xfId="0" applyFont="1" applyFill="1" applyBorder="1" applyAlignment="1">
      <alignment horizontal="center" vertical="center" wrapText="1"/>
    </xf>
    <xf numFmtId="0" fontId="6" fillId="0" borderId="30" xfId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0" fontId="6" fillId="0" borderId="50" xfId="1" applyFont="1" applyFill="1" applyBorder="1" applyAlignment="1">
      <alignment horizontal="center" vertical="center" wrapText="1"/>
    </xf>
    <xf numFmtId="0" fontId="18" fillId="5" borderId="32" xfId="1" applyFont="1" applyFill="1" applyBorder="1" applyAlignment="1">
      <alignment horizontal="center" vertical="center" wrapText="1"/>
    </xf>
    <xf numFmtId="0" fontId="18" fillId="5" borderId="28" xfId="1" applyFont="1" applyFill="1" applyBorder="1" applyAlignment="1">
      <alignment horizontal="center" vertical="center" wrapText="1"/>
    </xf>
    <xf numFmtId="0" fontId="18" fillId="5" borderId="50" xfId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11" fillId="4" borderId="41" xfId="0" applyFont="1" applyFill="1" applyBorder="1" applyAlignment="1">
      <alignment horizontal="center" vertical="center"/>
    </xf>
    <xf numFmtId="0" fontId="11" fillId="4" borderId="44" xfId="0" applyFont="1" applyFill="1" applyBorder="1" applyAlignment="1">
      <alignment horizontal="center" vertical="center"/>
    </xf>
    <xf numFmtId="0" fontId="11" fillId="4" borderId="42" xfId="0" applyFont="1" applyFill="1" applyBorder="1" applyAlignment="1">
      <alignment horizontal="center" vertical="center"/>
    </xf>
    <xf numFmtId="0" fontId="11" fillId="4" borderId="52" xfId="0" applyFont="1" applyFill="1" applyBorder="1" applyAlignment="1">
      <alignment horizontal="center" vertical="center"/>
    </xf>
    <xf numFmtId="0" fontId="11" fillId="4" borderId="53" xfId="0" applyFont="1" applyFill="1" applyBorder="1" applyAlignment="1">
      <alignment horizontal="center" vertical="center"/>
    </xf>
    <xf numFmtId="0" fontId="11" fillId="4" borderId="51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7" borderId="43" xfId="0" applyFont="1" applyFill="1" applyBorder="1" applyAlignment="1">
      <alignment horizontal="center" vertical="center" wrapText="1"/>
    </xf>
    <xf numFmtId="0" fontId="5" fillId="7" borderId="46" xfId="0" applyFont="1" applyFill="1" applyBorder="1" applyAlignment="1">
      <alignment horizontal="center" vertical="center" wrapText="1"/>
    </xf>
    <xf numFmtId="0" fontId="5" fillId="7" borderId="3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EE6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author/3991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www.gutenberg.org/ebooks/40357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archive.org/details/landofdons00will/page/n19/mode/2up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40356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0"/>
  <sheetViews>
    <sheetView tabSelected="1" topLeftCell="AD1" zoomScale="50" zoomScaleNormal="50" workbookViewId="0">
      <selection activeCell="AU13" sqref="AU13"/>
    </sheetView>
  </sheetViews>
  <sheetFormatPr baseColWidth="10" defaultColWidth="8.88671875" defaultRowHeight="15.6" x14ac:dyDescent="0.3"/>
  <cols>
    <col min="1" max="1" width="77.5546875" style="6" customWidth="1"/>
    <col min="2" max="2" width="98.21875" style="2" customWidth="1"/>
    <col min="3" max="3" width="12.88671875" style="2" customWidth="1"/>
    <col min="4" max="4" width="23.5546875" style="2" customWidth="1"/>
    <col min="5" max="5" width="20.44140625" style="2" customWidth="1"/>
    <col min="6" max="6" width="18.88671875" style="2" customWidth="1"/>
    <col min="7" max="7" width="19.5546875" style="2" customWidth="1"/>
    <col min="8" max="8" width="38.44140625" style="2" customWidth="1"/>
    <col min="9" max="9" width="18.77734375" style="2" customWidth="1"/>
    <col min="10" max="10" width="24.21875" style="2" customWidth="1"/>
    <col min="11" max="11" width="17.6640625" style="2" customWidth="1"/>
    <col min="12" max="12" width="22.88671875" style="2" customWidth="1"/>
    <col min="13" max="13" width="17.77734375" style="2" customWidth="1"/>
    <col min="14" max="14" width="24" style="2" customWidth="1"/>
    <col min="15" max="15" width="36" style="2" customWidth="1"/>
    <col min="16" max="16" width="17.5546875" style="2" customWidth="1"/>
    <col min="17" max="17" width="18.21875" style="2" customWidth="1"/>
    <col min="18" max="19" width="18.6640625" style="2" customWidth="1"/>
    <col min="20" max="20" width="17.33203125" style="2" customWidth="1"/>
    <col min="21" max="21" width="18.88671875" style="2" customWidth="1"/>
    <col min="22" max="22" width="18.6640625" style="2" customWidth="1"/>
    <col min="23" max="23" width="19.5546875" style="2" customWidth="1"/>
    <col min="24" max="25" width="19.109375" style="2" customWidth="1"/>
    <col min="26" max="26" width="17.5546875" style="2" customWidth="1"/>
    <col min="27" max="31" width="19.6640625" style="2" customWidth="1"/>
    <col min="32" max="32" width="19.33203125" style="2" customWidth="1"/>
    <col min="33" max="33" width="18.21875" style="2" customWidth="1"/>
    <col min="34" max="34" width="18.33203125" style="2" customWidth="1"/>
    <col min="35" max="35" width="18.21875" style="2" customWidth="1"/>
    <col min="36" max="36" width="18.109375" style="2" customWidth="1"/>
    <col min="37" max="39" width="21.109375" style="2" customWidth="1"/>
    <col min="40" max="40" width="18.44140625" style="2" customWidth="1"/>
    <col min="41" max="41" width="20.33203125" style="2" customWidth="1"/>
    <col min="42" max="42" width="19.77734375" style="2" customWidth="1"/>
    <col min="43" max="43" width="20.6640625" style="2" customWidth="1"/>
    <col min="44" max="44" width="46.6640625" style="2" customWidth="1"/>
    <col min="45" max="45" width="33.109375" style="2" customWidth="1"/>
    <col min="46" max="46" width="23.109375" style="2" customWidth="1"/>
    <col min="47" max="47" width="21.77734375" style="2" customWidth="1"/>
    <col min="48" max="48" width="25.21875" style="2" customWidth="1"/>
    <col min="49" max="49" width="17.77734375" style="2" customWidth="1"/>
    <col min="50" max="16384" width="8.88671875" style="2"/>
  </cols>
  <sheetData>
    <row r="1" spans="1:70" s="42" customFormat="1" ht="48.6" customHeight="1" thickBot="1" x14ac:dyDescent="0.35">
      <c r="A1" s="217" t="s">
        <v>13</v>
      </c>
      <c r="B1" s="218"/>
      <c r="C1" s="218"/>
      <c r="D1" s="218"/>
      <c r="E1" s="114" t="s">
        <v>70</v>
      </c>
      <c r="F1" s="223" t="s">
        <v>38</v>
      </c>
      <c r="G1" s="224"/>
      <c r="H1" s="197" t="s">
        <v>54</v>
      </c>
      <c r="I1" s="219" t="s">
        <v>55</v>
      </c>
      <c r="J1" s="220"/>
      <c r="K1" s="221" t="s">
        <v>40</v>
      </c>
      <c r="L1" s="222"/>
      <c r="M1" s="192" t="s">
        <v>41</v>
      </c>
      <c r="N1" s="193"/>
      <c r="O1" s="197" t="s">
        <v>54</v>
      </c>
      <c r="P1" s="209" t="s">
        <v>55</v>
      </c>
      <c r="Q1" s="209"/>
      <c r="R1" s="209"/>
      <c r="S1" s="209"/>
      <c r="T1" s="209"/>
      <c r="U1" s="209"/>
      <c r="V1" s="209"/>
      <c r="W1" s="209"/>
      <c r="X1" s="210" t="s">
        <v>40</v>
      </c>
      <c r="Y1" s="211"/>
      <c r="Z1" s="211"/>
      <c r="AA1" s="211"/>
      <c r="AB1" s="211"/>
      <c r="AC1" s="211"/>
      <c r="AD1" s="211"/>
      <c r="AE1" s="211"/>
      <c r="AF1" s="211"/>
      <c r="AG1" s="212"/>
      <c r="AH1" s="213" t="s">
        <v>58</v>
      </c>
      <c r="AI1" s="214"/>
      <c r="AJ1" s="214"/>
      <c r="AK1" s="214"/>
      <c r="AL1" s="214"/>
      <c r="AM1" s="214"/>
      <c r="AN1" s="214"/>
      <c r="AO1" s="214"/>
      <c r="AP1" s="214"/>
      <c r="AQ1" s="214"/>
      <c r="AR1" s="136"/>
      <c r="AS1" s="39"/>
      <c r="AT1" s="40"/>
      <c r="AU1" s="40"/>
      <c r="AV1" s="41"/>
      <c r="AW1" s="41"/>
      <c r="AX1" s="40"/>
      <c r="AY1" s="40"/>
      <c r="AZ1" s="40"/>
    </row>
    <row r="2" spans="1:70" s="16" customFormat="1" ht="31.8" customHeight="1" thickTop="1" thickBot="1" x14ac:dyDescent="0.35">
      <c r="A2" s="233" t="s">
        <v>17</v>
      </c>
      <c r="B2" s="233" t="s">
        <v>10</v>
      </c>
      <c r="C2" s="233" t="s">
        <v>11</v>
      </c>
      <c r="D2" s="236" t="s">
        <v>15</v>
      </c>
      <c r="E2" s="239" t="s">
        <v>87</v>
      </c>
      <c r="F2" s="242" t="s">
        <v>56</v>
      </c>
      <c r="G2" s="194" t="s">
        <v>87</v>
      </c>
      <c r="H2" s="198"/>
      <c r="I2" s="200" t="s">
        <v>56</v>
      </c>
      <c r="J2" s="203" t="s">
        <v>87</v>
      </c>
      <c r="K2" s="206" t="s">
        <v>56</v>
      </c>
      <c r="L2" s="177" t="s">
        <v>87</v>
      </c>
      <c r="M2" s="180" t="s">
        <v>56</v>
      </c>
      <c r="N2" s="183" t="s">
        <v>87</v>
      </c>
      <c r="O2" s="198"/>
      <c r="P2" s="186" t="s">
        <v>92</v>
      </c>
      <c r="Q2" s="187"/>
      <c r="R2" s="186" t="s">
        <v>93</v>
      </c>
      <c r="S2" s="187"/>
      <c r="T2" s="186" t="s">
        <v>94</v>
      </c>
      <c r="U2" s="187"/>
      <c r="V2" s="186" t="s">
        <v>95</v>
      </c>
      <c r="W2" s="187"/>
      <c r="X2" s="175" t="s">
        <v>88</v>
      </c>
      <c r="Y2" s="176"/>
      <c r="Z2" s="175" t="s">
        <v>89</v>
      </c>
      <c r="AA2" s="176"/>
      <c r="AB2" s="175" t="s">
        <v>90</v>
      </c>
      <c r="AC2" s="176"/>
      <c r="AD2" s="175" t="s">
        <v>59</v>
      </c>
      <c r="AE2" s="176"/>
      <c r="AF2" s="175" t="s">
        <v>91</v>
      </c>
      <c r="AG2" s="176"/>
      <c r="AH2" s="175" t="s">
        <v>60</v>
      </c>
      <c r="AI2" s="176"/>
      <c r="AJ2" s="175" t="s">
        <v>61</v>
      </c>
      <c r="AK2" s="176"/>
      <c r="AL2" s="175" t="s">
        <v>96</v>
      </c>
      <c r="AM2" s="176"/>
      <c r="AN2" s="175" t="s">
        <v>97</v>
      </c>
      <c r="AO2" s="176"/>
      <c r="AP2" s="175" t="s">
        <v>98</v>
      </c>
      <c r="AQ2" s="176"/>
      <c r="AR2" s="4"/>
      <c r="AS2" s="4"/>
      <c r="AT2" s="2"/>
      <c r="AU2" s="2"/>
      <c r="AV2" s="2"/>
      <c r="AW2" s="2"/>
      <c r="AX2" s="2"/>
      <c r="AY2" s="2"/>
      <c r="AZ2" s="2"/>
    </row>
    <row r="3" spans="1:70" ht="39.6" customHeight="1" thickTop="1" thickBot="1" x14ac:dyDescent="0.35">
      <c r="A3" s="234"/>
      <c r="B3" s="234"/>
      <c r="C3" s="234"/>
      <c r="D3" s="237"/>
      <c r="E3" s="240"/>
      <c r="F3" s="243"/>
      <c r="G3" s="195"/>
      <c r="H3" s="198"/>
      <c r="I3" s="201"/>
      <c r="J3" s="204"/>
      <c r="K3" s="207"/>
      <c r="L3" s="178"/>
      <c r="M3" s="181"/>
      <c r="N3" s="184"/>
      <c r="O3" s="198"/>
      <c r="P3" s="188"/>
      <c r="Q3" s="189"/>
      <c r="R3" s="188"/>
      <c r="S3" s="189"/>
      <c r="T3" s="188"/>
      <c r="U3" s="189"/>
      <c r="V3" s="188"/>
      <c r="W3" s="189"/>
      <c r="X3" s="190" t="s">
        <v>62</v>
      </c>
      <c r="Y3" s="191"/>
      <c r="Z3" s="190" t="s">
        <v>62</v>
      </c>
      <c r="AA3" s="191"/>
      <c r="AB3" s="190" t="s">
        <v>62</v>
      </c>
      <c r="AC3" s="191"/>
      <c r="AD3" s="190" t="s">
        <v>64</v>
      </c>
      <c r="AE3" s="191"/>
      <c r="AF3" s="190" t="s">
        <v>63</v>
      </c>
      <c r="AG3" s="191"/>
      <c r="AH3" s="190" t="s">
        <v>65</v>
      </c>
      <c r="AI3" s="191"/>
      <c r="AJ3" s="190" t="s">
        <v>66</v>
      </c>
      <c r="AK3" s="191"/>
      <c r="AL3" s="190" t="s">
        <v>68</v>
      </c>
      <c r="AM3" s="191"/>
      <c r="AN3" s="190" t="s">
        <v>69</v>
      </c>
      <c r="AO3" s="215"/>
      <c r="AP3" s="190" t="s">
        <v>67</v>
      </c>
      <c r="AQ3" s="191"/>
      <c r="AR3" s="4"/>
      <c r="AS3" s="4"/>
    </row>
    <row r="4" spans="1:70" ht="43.8" customHeight="1" thickTop="1" thickBot="1" x14ac:dyDescent="0.35">
      <c r="A4" s="235"/>
      <c r="B4" s="235"/>
      <c r="C4" s="235"/>
      <c r="D4" s="238"/>
      <c r="E4" s="241"/>
      <c r="F4" s="244"/>
      <c r="G4" s="196"/>
      <c r="H4" s="199"/>
      <c r="I4" s="202"/>
      <c r="J4" s="205"/>
      <c r="K4" s="208"/>
      <c r="L4" s="179"/>
      <c r="M4" s="182"/>
      <c r="N4" s="185"/>
      <c r="O4" s="199"/>
      <c r="P4" s="36" t="s">
        <v>56</v>
      </c>
      <c r="Q4" s="24" t="s">
        <v>57</v>
      </c>
      <c r="R4" s="36" t="s">
        <v>56</v>
      </c>
      <c r="S4" s="24" t="s">
        <v>57</v>
      </c>
      <c r="T4" s="36" t="s">
        <v>56</v>
      </c>
      <c r="U4" s="24" t="s">
        <v>57</v>
      </c>
      <c r="V4" s="37" t="s">
        <v>56</v>
      </c>
      <c r="W4" s="38" t="s">
        <v>57</v>
      </c>
      <c r="X4" s="82" t="s">
        <v>56</v>
      </c>
      <c r="Y4" s="84" t="s">
        <v>57</v>
      </c>
      <c r="Z4" s="82" t="s">
        <v>56</v>
      </c>
      <c r="AA4" s="83" t="s">
        <v>57</v>
      </c>
      <c r="AB4" s="82" t="s">
        <v>56</v>
      </c>
      <c r="AC4" s="84" t="s">
        <v>57</v>
      </c>
      <c r="AD4" s="82" t="s">
        <v>56</v>
      </c>
      <c r="AE4" s="84" t="s">
        <v>57</v>
      </c>
      <c r="AF4" s="82" t="s">
        <v>56</v>
      </c>
      <c r="AG4" s="84" t="s">
        <v>57</v>
      </c>
      <c r="AH4" s="71" t="s">
        <v>56</v>
      </c>
      <c r="AI4" s="25" t="s">
        <v>57</v>
      </c>
      <c r="AJ4" s="71" t="s">
        <v>56</v>
      </c>
      <c r="AK4" s="25" t="s">
        <v>57</v>
      </c>
      <c r="AL4" s="71" t="s">
        <v>56</v>
      </c>
      <c r="AM4" s="25" t="s">
        <v>57</v>
      </c>
      <c r="AN4" s="71" t="s">
        <v>56</v>
      </c>
      <c r="AO4" s="122" t="s">
        <v>57</v>
      </c>
      <c r="AP4" s="71" t="s">
        <v>56</v>
      </c>
      <c r="AQ4" s="25" t="s">
        <v>57</v>
      </c>
      <c r="AS4" s="4"/>
    </row>
    <row r="5" spans="1:70" ht="41.4" customHeight="1" thickTop="1" x14ac:dyDescent="0.3">
      <c r="A5" s="9" t="s">
        <v>33</v>
      </c>
      <c r="B5" s="10" t="s">
        <v>37</v>
      </c>
      <c r="C5" s="11">
        <v>1900</v>
      </c>
      <c r="D5" s="19" t="s">
        <v>0</v>
      </c>
      <c r="E5" s="225">
        <v>7616</v>
      </c>
      <c r="F5" s="158">
        <f>SUM(I5,K5,M5)</f>
        <v>306</v>
      </c>
      <c r="G5" s="27">
        <f>SUM(J5,L5,N5)</f>
        <v>1835</v>
      </c>
      <c r="H5" s="33"/>
      <c r="I5" s="46">
        <f>SUM(V5,P5,R5,T5)</f>
        <v>19</v>
      </c>
      <c r="J5" s="45">
        <f>SUM(W5,Q5,S5,U5)</f>
        <v>247</v>
      </c>
      <c r="K5" s="90">
        <f>SUM(Z5,X5,AF5,AD5,AB5)</f>
        <v>134</v>
      </c>
      <c r="L5" s="47">
        <f>SUM(AA5,Y5,AG5,AE5,AC5)</f>
        <v>703</v>
      </c>
      <c r="M5" s="138">
        <f>SUM(AH5,AJ5,AP5,AL5,AN5)</f>
        <v>153</v>
      </c>
      <c r="N5" s="45">
        <f>SUM(AI5,AK5,AQ5,AM5,AO5)</f>
        <v>885</v>
      </c>
      <c r="O5" s="30"/>
      <c r="P5" s="44">
        <v>5</v>
      </c>
      <c r="Q5" s="153">
        <v>149</v>
      </c>
      <c r="R5" s="46">
        <v>6</v>
      </c>
      <c r="S5" s="47">
        <v>19</v>
      </c>
      <c r="T5" s="88">
        <v>7</v>
      </c>
      <c r="U5" s="87">
        <v>53</v>
      </c>
      <c r="V5" s="43">
        <v>1</v>
      </c>
      <c r="W5" s="92">
        <v>26</v>
      </c>
      <c r="X5" s="48">
        <v>37</v>
      </c>
      <c r="Y5" s="47">
        <v>222</v>
      </c>
      <c r="Z5" s="48">
        <v>27</v>
      </c>
      <c r="AA5" s="45">
        <v>181</v>
      </c>
      <c r="AB5" s="46">
        <v>15</v>
      </c>
      <c r="AC5" s="47">
        <v>68</v>
      </c>
      <c r="AD5" s="99">
        <v>18</v>
      </c>
      <c r="AE5" s="47">
        <v>114</v>
      </c>
      <c r="AF5" s="90">
        <v>37</v>
      </c>
      <c r="AG5" s="47">
        <v>118</v>
      </c>
      <c r="AH5" s="107">
        <v>77</v>
      </c>
      <c r="AI5" s="50">
        <v>364</v>
      </c>
      <c r="AJ5" s="107">
        <v>20</v>
      </c>
      <c r="AK5" s="51">
        <v>235</v>
      </c>
      <c r="AL5" s="49">
        <v>18</v>
      </c>
      <c r="AM5" s="51">
        <v>92</v>
      </c>
      <c r="AN5" s="171">
        <v>23</v>
      </c>
      <c r="AO5" s="172">
        <v>154</v>
      </c>
      <c r="AP5" s="123">
        <v>15</v>
      </c>
      <c r="AQ5" s="50">
        <v>40</v>
      </c>
      <c r="AR5" s="81"/>
      <c r="AS5" s="4"/>
    </row>
    <row r="6" spans="1:70" ht="31.2" customHeight="1" x14ac:dyDescent="0.3">
      <c r="A6" s="6" t="s">
        <v>26</v>
      </c>
      <c r="B6" s="7" t="s">
        <v>30</v>
      </c>
      <c r="C6" s="5">
        <v>1902</v>
      </c>
      <c r="D6" s="20" t="s">
        <v>31</v>
      </c>
      <c r="E6" s="226"/>
      <c r="F6" s="26">
        <f t="shared" ref="F6:F19" si="0">SUM(I6,K6,M6)</f>
        <v>216</v>
      </c>
      <c r="G6" s="27">
        <f>SUM(J6,L6,N6)</f>
        <v>604</v>
      </c>
      <c r="H6" s="31"/>
      <c r="I6" s="46">
        <f>SUM(V6,P6,R6,T6)</f>
        <v>24</v>
      </c>
      <c r="J6" s="45">
        <f>SUM(W6,Q6,S6,U6)</f>
        <v>119</v>
      </c>
      <c r="K6" s="46">
        <v>87</v>
      </c>
      <c r="L6" s="47">
        <v>242</v>
      </c>
      <c r="M6" s="46">
        <v>105</v>
      </c>
      <c r="N6" s="45">
        <v>243</v>
      </c>
      <c r="O6" s="31" t="s">
        <v>51</v>
      </c>
      <c r="P6" s="54">
        <v>6</v>
      </c>
      <c r="Q6" s="5">
        <v>40</v>
      </c>
      <c r="R6" s="97">
        <v>12</v>
      </c>
      <c r="S6" s="53">
        <v>32</v>
      </c>
      <c r="T6" s="56">
        <v>5</v>
      </c>
      <c r="U6" s="55">
        <v>30</v>
      </c>
      <c r="V6" s="52">
        <v>1</v>
      </c>
      <c r="W6" s="53">
        <v>17</v>
      </c>
      <c r="X6" s="57">
        <v>28</v>
      </c>
      <c r="Y6" s="53">
        <v>78</v>
      </c>
      <c r="Z6" s="57">
        <v>12</v>
      </c>
      <c r="AA6" s="55">
        <v>21</v>
      </c>
      <c r="AB6" s="56">
        <v>9</v>
      </c>
      <c r="AC6" s="53">
        <v>30</v>
      </c>
      <c r="AD6" s="54">
        <v>13</v>
      </c>
      <c r="AE6" s="53">
        <v>37</v>
      </c>
      <c r="AF6" s="56">
        <v>25</v>
      </c>
      <c r="AG6" s="53">
        <v>76</v>
      </c>
      <c r="AH6" s="58">
        <v>44</v>
      </c>
      <c r="AI6" s="59">
        <v>86</v>
      </c>
      <c r="AJ6" s="58">
        <v>13</v>
      </c>
      <c r="AK6" s="60">
        <v>45</v>
      </c>
      <c r="AL6" s="58">
        <v>9</v>
      </c>
      <c r="AM6" s="60">
        <v>16</v>
      </c>
      <c r="AN6" s="168">
        <v>23</v>
      </c>
      <c r="AO6" s="59">
        <v>60</v>
      </c>
      <c r="AP6" s="58">
        <v>16</v>
      </c>
      <c r="AQ6" s="59">
        <v>36</v>
      </c>
      <c r="AR6" s="81"/>
      <c r="AS6" s="4"/>
    </row>
    <row r="7" spans="1:70" ht="27" customHeight="1" x14ac:dyDescent="0.3">
      <c r="A7" s="6" t="s">
        <v>14</v>
      </c>
      <c r="B7" s="7" t="s">
        <v>12</v>
      </c>
      <c r="C7" s="5">
        <v>1903</v>
      </c>
      <c r="D7" s="21" t="s">
        <v>0</v>
      </c>
      <c r="E7" s="226"/>
      <c r="F7" s="26">
        <f t="shared" si="0"/>
        <v>223</v>
      </c>
      <c r="G7" s="27">
        <f t="shared" ref="G7:G19" si="1">SUM(J7,L7,N7)</f>
        <v>1056</v>
      </c>
      <c r="H7" s="31"/>
      <c r="I7" s="46">
        <f>SUM(V7,P7,R7,T7)</f>
        <v>25</v>
      </c>
      <c r="J7" s="45">
        <v>172</v>
      </c>
      <c r="K7" s="46">
        <v>108</v>
      </c>
      <c r="L7" s="47">
        <v>579</v>
      </c>
      <c r="M7" s="46">
        <v>90</v>
      </c>
      <c r="N7" s="45">
        <v>305</v>
      </c>
      <c r="O7" s="31"/>
      <c r="P7" s="148">
        <v>10</v>
      </c>
      <c r="Q7" s="5">
        <v>120</v>
      </c>
      <c r="R7" s="56">
        <v>8</v>
      </c>
      <c r="S7" s="53">
        <v>31</v>
      </c>
      <c r="T7" s="56">
        <v>5</v>
      </c>
      <c r="U7" s="55">
        <v>13</v>
      </c>
      <c r="V7" s="52">
        <v>2</v>
      </c>
      <c r="W7" s="53">
        <v>8</v>
      </c>
      <c r="X7" s="57">
        <v>35</v>
      </c>
      <c r="Y7" s="53">
        <v>188</v>
      </c>
      <c r="Z7" s="57">
        <v>24</v>
      </c>
      <c r="AA7" s="55">
        <v>137</v>
      </c>
      <c r="AB7" s="56">
        <v>16</v>
      </c>
      <c r="AC7" s="105">
        <v>164</v>
      </c>
      <c r="AD7" s="54">
        <v>16</v>
      </c>
      <c r="AE7" s="53">
        <v>57</v>
      </c>
      <c r="AF7" s="56">
        <v>17</v>
      </c>
      <c r="AG7" s="53">
        <v>33</v>
      </c>
      <c r="AH7" s="58">
        <v>46</v>
      </c>
      <c r="AI7" s="59">
        <v>158</v>
      </c>
      <c r="AJ7" s="58">
        <v>14</v>
      </c>
      <c r="AK7" s="60">
        <v>54</v>
      </c>
      <c r="AL7" s="58">
        <v>13</v>
      </c>
      <c r="AM7" s="60">
        <v>64</v>
      </c>
      <c r="AN7" s="58">
        <v>7</v>
      </c>
      <c r="AO7" s="59">
        <v>16</v>
      </c>
      <c r="AP7" s="58">
        <v>10</v>
      </c>
      <c r="AQ7" s="59">
        <v>13</v>
      </c>
      <c r="AR7" s="81"/>
      <c r="AS7" s="4"/>
    </row>
    <row r="8" spans="1:70" ht="31.2" customHeight="1" x14ac:dyDescent="0.3">
      <c r="A8" s="6" t="s">
        <v>24</v>
      </c>
      <c r="B8" s="7" t="s">
        <v>19</v>
      </c>
      <c r="C8" s="5">
        <v>1904</v>
      </c>
      <c r="D8" s="21" t="s">
        <v>1</v>
      </c>
      <c r="E8" s="226"/>
      <c r="F8" s="26">
        <f t="shared" si="0"/>
        <v>226</v>
      </c>
      <c r="G8" s="27">
        <f t="shared" si="1"/>
        <v>1719</v>
      </c>
      <c r="H8" s="31" t="s">
        <v>42</v>
      </c>
      <c r="I8" s="46">
        <v>16</v>
      </c>
      <c r="J8" s="45">
        <v>153</v>
      </c>
      <c r="K8" s="46">
        <v>92</v>
      </c>
      <c r="L8" s="47">
        <v>714</v>
      </c>
      <c r="M8" s="46">
        <v>118</v>
      </c>
      <c r="N8" s="45">
        <v>852</v>
      </c>
      <c r="O8" s="31" t="s">
        <v>42</v>
      </c>
      <c r="P8" s="54">
        <v>6</v>
      </c>
      <c r="Q8" s="5">
        <v>115</v>
      </c>
      <c r="R8" s="56">
        <v>5</v>
      </c>
      <c r="S8" s="53">
        <v>22</v>
      </c>
      <c r="T8" s="56">
        <v>4</v>
      </c>
      <c r="U8" s="55">
        <v>11</v>
      </c>
      <c r="V8" s="52">
        <v>1</v>
      </c>
      <c r="W8" s="53">
        <v>5</v>
      </c>
      <c r="X8" s="57">
        <v>32</v>
      </c>
      <c r="Y8" s="53">
        <v>215</v>
      </c>
      <c r="Z8" s="57">
        <v>11</v>
      </c>
      <c r="AA8" s="55">
        <v>59</v>
      </c>
      <c r="AB8" s="56">
        <v>13</v>
      </c>
      <c r="AC8" s="105">
        <v>137</v>
      </c>
      <c r="AD8" s="54">
        <v>12</v>
      </c>
      <c r="AE8" s="163">
        <v>187</v>
      </c>
      <c r="AF8" s="56">
        <v>24</v>
      </c>
      <c r="AG8" s="53">
        <v>116</v>
      </c>
      <c r="AH8" s="58">
        <v>60</v>
      </c>
      <c r="AI8" s="59">
        <v>345</v>
      </c>
      <c r="AJ8" s="108">
        <v>19</v>
      </c>
      <c r="AK8" s="60">
        <v>296</v>
      </c>
      <c r="AL8" s="58">
        <v>10</v>
      </c>
      <c r="AM8" s="60">
        <v>58</v>
      </c>
      <c r="AN8" s="58">
        <v>7</v>
      </c>
      <c r="AO8" s="59">
        <v>50</v>
      </c>
      <c r="AP8" s="168">
        <v>22</v>
      </c>
      <c r="AQ8" s="174">
        <v>103</v>
      </c>
      <c r="AR8" s="78"/>
      <c r="AS8" s="79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</row>
    <row r="9" spans="1:70" s="15" customFormat="1" ht="30.6" customHeight="1" thickBot="1" x14ac:dyDescent="0.35">
      <c r="A9" s="12" t="s">
        <v>25</v>
      </c>
      <c r="B9" s="13" t="s">
        <v>18</v>
      </c>
      <c r="C9" s="14">
        <v>1905</v>
      </c>
      <c r="D9" s="22" t="s">
        <v>0</v>
      </c>
      <c r="E9" s="227"/>
      <c r="F9" s="156">
        <f t="shared" si="0"/>
        <v>324</v>
      </c>
      <c r="G9" s="155">
        <f t="shared" si="1"/>
        <v>2402</v>
      </c>
      <c r="H9" s="72" t="s">
        <v>43</v>
      </c>
      <c r="I9" s="89">
        <v>26</v>
      </c>
      <c r="J9" s="139">
        <v>292</v>
      </c>
      <c r="K9" s="145">
        <v>137</v>
      </c>
      <c r="L9" s="91">
        <v>986</v>
      </c>
      <c r="M9" s="146">
        <v>161</v>
      </c>
      <c r="N9" s="147">
        <v>1124</v>
      </c>
      <c r="O9" s="32" t="s">
        <v>43</v>
      </c>
      <c r="P9" s="62">
        <v>7</v>
      </c>
      <c r="Q9" s="66">
        <v>134</v>
      </c>
      <c r="R9" s="64">
        <v>9</v>
      </c>
      <c r="S9" s="93">
        <v>67</v>
      </c>
      <c r="T9" s="89">
        <v>9</v>
      </c>
      <c r="U9" s="149">
        <v>52</v>
      </c>
      <c r="V9" s="61">
        <v>1</v>
      </c>
      <c r="W9" s="150">
        <v>39</v>
      </c>
      <c r="X9" s="69">
        <v>37</v>
      </c>
      <c r="Y9" s="65">
        <v>310</v>
      </c>
      <c r="Z9" s="69">
        <v>26</v>
      </c>
      <c r="AA9" s="63">
        <v>187</v>
      </c>
      <c r="AB9" s="64">
        <v>13</v>
      </c>
      <c r="AC9" s="65">
        <v>136</v>
      </c>
      <c r="AD9" s="100">
        <v>17</v>
      </c>
      <c r="AE9" s="91">
        <v>170</v>
      </c>
      <c r="AF9" s="145">
        <v>44</v>
      </c>
      <c r="AG9" s="164">
        <v>183</v>
      </c>
      <c r="AH9" s="166">
        <v>81</v>
      </c>
      <c r="AI9" s="167">
        <v>522</v>
      </c>
      <c r="AJ9" s="106">
        <v>20</v>
      </c>
      <c r="AK9" s="111">
        <v>328</v>
      </c>
      <c r="AL9" s="106">
        <v>20</v>
      </c>
      <c r="AM9" s="111">
        <v>135</v>
      </c>
      <c r="AN9" s="68">
        <v>18</v>
      </c>
      <c r="AO9" s="67">
        <v>66</v>
      </c>
      <c r="AP9" s="173">
        <v>22</v>
      </c>
      <c r="AQ9" s="110">
        <v>73</v>
      </c>
      <c r="AR9" s="78"/>
      <c r="AS9" s="79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</row>
    <row r="10" spans="1:70" ht="37.200000000000003" customHeight="1" thickTop="1" x14ac:dyDescent="0.3">
      <c r="A10" s="9" t="s">
        <v>14</v>
      </c>
      <c r="B10" s="10" t="s">
        <v>2</v>
      </c>
      <c r="C10" s="11">
        <v>1908</v>
      </c>
      <c r="D10" s="19" t="s">
        <v>0</v>
      </c>
      <c r="E10" s="228">
        <v>7835</v>
      </c>
      <c r="F10" s="26">
        <f t="shared" si="0"/>
        <v>280</v>
      </c>
      <c r="G10" s="157">
        <f t="shared" si="1"/>
        <v>2157</v>
      </c>
      <c r="H10" s="33" t="s">
        <v>44</v>
      </c>
      <c r="I10" s="142">
        <v>43</v>
      </c>
      <c r="J10" s="143">
        <v>373</v>
      </c>
      <c r="K10" s="46">
        <v>128</v>
      </c>
      <c r="L10" s="144">
        <v>1121</v>
      </c>
      <c r="M10" s="46">
        <v>109</v>
      </c>
      <c r="N10" s="45">
        <v>663</v>
      </c>
      <c r="O10" s="30" t="s">
        <v>52</v>
      </c>
      <c r="P10" s="96">
        <v>9</v>
      </c>
      <c r="Q10" s="151">
        <v>267</v>
      </c>
      <c r="R10" s="142">
        <v>23</v>
      </c>
      <c r="S10" s="47">
        <v>48</v>
      </c>
      <c r="T10" s="142">
        <v>10</v>
      </c>
      <c r="U10" s="45">
        <v>31</v>
      </c>
      <c r="V10" s="43">
        <v>1</v>
      </c>
      <c r="W10" s="92">
        <v>27</v>
      </c>
      <c r="X10" s="103">
        <v>35</v>
      </c>
      <c r="Y10" s="144">
        <v>440</v>
      </c>
      <c r="Z10" s="160">
        <v>39</v>
      </c>
      <c r="AA10" s="161">
        <v>458</v>
      </c>
      <c r="AB10" s="90">
        <v>21</v>
      </c>
      <c r="AC10" s="47">
        <v>131</v>
      </c>
      <c r="AD10" s="44">
        <v>13</v>
      </c>
      <c r="AE10" s="47">
        <v>37</v>
      </c>
      <c r="AF10" s="46">
        <v>20</v>
      </c>
      <c r="AG10" s="47">
        <v>55</v>
      </c>
      <c r="AH10" s="49">
        <v>60</v>
      </c>
      <c r="AI10" s="50">
        <v>312</v>
      </c>
      <c r="AJ10" s="49">
        <v>15</v>
      </c>
      <c r="AK10" s="51">
        <v>138</v>
      </c>
      <c r="AL10" s="49">
        <v>16</v>
      </c>
      <c r="AM10" s="170">
        <v>175</v>
      </c>
      <c r="AN10" s="49">
        <v>13</v>
      </c>
      <c r="AO10" s="50">
        <v>31</v>
      </c>
      <c r="AP10" s="49">
        <v>5</v>
      </c>
      <c r="AQ10" s="50">
        <v>7</v>
      </c>
      <c r="AR10" s="78"/>
      <c r="AS10" s="79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</row>
    <row r="11" spans="1:70" ht="32.4" customHeight="1" x14ac:dyDescent="0.3">
      <c r="A11" s="6" t="s">
        <v>20</v>
      </c>
      <c r="B11" s="7" t="s">
        <v>3</v>
      </c>
      <c r="C11" s="5">
        <v>1908</v>
      </c>
      <c r="D11" s="21" t="s">
        <v>1</v>
      </c>
      <c r="E11" s="229"/>
      <c r="F11" s="158">
        <f t="shared" si="0"/>
        <v>297</v>
      </c>
      <c r="G11" s="157">
        <f t="shared" si="1"/>
        <v>2140</v>
      </c>
      <c r="H11" s="33" t="s">
        <v>45</v>
      </c>
      <c r="I11" s="46">
        <v>20</v>
      </c>
      <c r="J11" s="45">
        <v>230</v>
      </c>
      <c r="K11" s="46">
        <v>131</v>
      </c>
      <c r="L11" s="47">
        <v>823</v>
      </c>
      <c r="M11" s="138">
        <v>146</v>
      </c>
      <c r="N11" s="140">
        <v>1087</v>
      </c>
      <c r="O11" s="33" t="s">
        <v>45</v>
      </c>
      <c r="P11" s="95">
        <v>8</v>
      </c>
      <c r="Q11" s="5">
        <v>141</v>
      </c>
      <c r="R11" s="56">
        <v>4</v>
      </c>
      <c r="S11" s="53">
        <v>49</v>
      </c>
      <c r="T11" s="97">
        <v>7</v>
      </c>
      <c r="U11" s="55">
        <v>24</v>
      </c>
      <c r="V11" s="52">
        <v>1</v>
      </c>
      <c r="W11" s="53">
        <v>16</v>
      </c>
      <c r="X11" s="159">
        <v>40</v>
      </c>
      <c r="Y11" s="105">
        <v>308</v>
      </c>
      <c r="Z11" s="57">
        <v>24</v>
      </c>
      <c r="AA11" s="104">
        <v>202</v>
      </c>
      <c r="AB11" s="56">
        <v>12</v>
      </c>
      <c r="AC11" s="53">
        <v>89</v>
      </c>
      <c r="AD11" s="54">
        <v>16</v>
      </c>
      <c r="AE11" s="53">
        <v>92</v>
      </c>
      <c r="AF11" s="101">
        <v>39</v>
      </c>
      <c r="AG11" s="105">
        <v>132</v>
      </c>
      <c r="AH11" s="58">
        <v>71</v>
      </c>
      <c r="AI11" s="109">
        <v>435</v>
      </c>
      <c r="AJ11" s="168">
        <v>21</v>
      </c>
      <c r="AK11" s="169">
        <v>414</v>
      </c>
      <c r="AL11" s="168">
        <v>22</v>
      </c>
      <c r="AM11" s="112">
        <v>116</v>
      </c>
      <c r="AN11" s="58">
        <v>16</v>
      </c>
      <c r="AO11" s="109">
        <v>88</v>
      </c>
      <c r="AP11" s="124">
        <v>16</v>
      </c>
      <c r="AQ11" s="59">
        <v>34</v>
      </c>
      <c r="AR11" s="78"/>
      <c r="AS11" s="79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</row>
    <row r="12" spans="1:70" ht="33" customHeight="1" x14ac:dyDescent="0.3">
      <c r="A12" s="5" t="s">
        <v>23</v>
      </c>
      <c r="B12" s="7" t="s">
        <v>4</v>
      </c>
      <c r="C12" s="6">
        <v>1909</v>
      </c>
      <c r="D12" s="28" t="s">
        <v>1</v>
      </c>
      <c r="E12" s="229"/>
      <c r="F12" s="26">
        <f t="shared" si="0"/>
        <v>160</v>
      </c>
      <c r="G12" s="27">
        <f t="shared" si="1"/>
        <v>717</v>
      </c>
      <c r="H12" s="31" t="s">
        <v>46</v>
      </c>
      <c r="I12" s="46">
        <v>8</v>
      </c>
      <c r="J12" s="45">
        <v>67</v>
      </c>
      <c r="K12" s="46">
        <v>86</v>
      </c>
      <c r="L12" s="47">
        <v>407</v>
      </c>
      <c r="M12" s="46">
        <v>66</v>
      </c>
      <c r="N12" s="45">
        <v>243</v>
      </c>
      <c r="O12" s="31" t="s">
        <v>46</v>
      </c>
      <c r="P12" s="54">
        <v>5</v>
      </c>
      <c r="Q12" s="5">
        <v>62</v>
      </c>
      <c r="R12" s="56">
        <v>1</v>
      </c>
      <c r="S12" s="53">
        <v>1</v>
      </c>
      <c r="T12" s="56">
        <v>1</v>
      </c>
      <c r="U12" s="55">
        <v>1</v>
      </c>
      <c r="V12" s="52">
        <v>1</v>
      </c>
      <c r="W12" s="53">
        <v>3</v>
      </c>
      <c r="X12" s="57">
        <v>27</v>
      </c>
      <c r="Y12" s="53">
        <v>149</v>
      </c>
      <c r="Z12" s="57">
        <v>21</v>
      </c>
      <c r="AA12" s="55">
        <v>131</v>
      </c>
      <c r="AB12" s="56">
        <v>11</v>
      </c>
      <c r="AC12" s="53">
        <v>36</v>
      </c>
      <c r="AD12" s="54">
        <v>12</v>
      </c>
      <c r="AE12" s="53">
        <v>43</v>
      </c>
      <c r="AF12" s="56">
        <v>15</v>
      </c>
      <c r="AG12" s="53">
        <v>48</v>
      </c>
      <c r="AH12" s="58">
        <v>35</v>
      </c>
      <c r="AI12" s="59">
        <v>134</v>
      </c>
      <c r="AJ12" s="58">
        <v>12</v>
      </c>
      <c r="AK12" s="60">
        <v>42</v>
      </c>
      <c r="AL12" s="58">
        <v>9</v>
      </c>
      <c r="AM12" s="60">
        <v>51</v>
      </c>
      <c r="AN12" s="58">
        <v>6</v>
      </c>
      <c r="AO12" s="59">
        <v>12</v>
      </c>
      <c r="AP12" s="58">
        <v>4</v>
      </c>
      <c r="AQ12" s="59">
        <v>4</v>
      </c>
      <c r="AR12" s="78"/>
      <c r="AS12" s="79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</row>
    <row r="13" spans="1:70" ht="30.6" customHeight="1" x14ac:dyDescent="0.3">
      <c r="A13" s="6" t="s">
        <v>32</v>
      </c>
      <c r="B13" s="8" t="s">
        <v>29</v>
      </c>
      <c r="C13" s="6">
        <v>1909</v>
      </c>
      <c r="D13" s="21" t="s">
        <v>0</v>
      </c>
      <c r="E13" s="229"/>
      <c r="F13" s="26">
        <f t="shared" si="0"/>
        <v>190</v>
      </c>
      <c r="G13" s="27">
        <f t="shared" si="1"/>
        <v>810</v>
      </c>
      <c r="H13" s="31" t="s">
        <v>50</v>
      </c>
      <c r="I13" s="46">
        <v>16</v>
      </c>
      <c r="J13" s="45">
        <v>102</v>
      </c>
      <c r="K13" s="46">
        <v>99</v>
      </c>
      <c r="L13" s="47">
        <v>458</v>
      </c>
      <c r="M13" s="46">
        <v>75</v>
      </c>
      <c r="N13" s="45">
        <v>250</v>
      </c>
      <c r="O13" s="31" t="s">
        <v>50</v>
      </c>
      <c r="P13" s="54">
        <v>7</v>
      </c>
      <c r="Q13" s="5">
        <v>90</v>
      </c>
      <c r="R13" s="56">
        <v>4</v>
      </c>
      <c r="S13" s="53">
        <v>6</v>
      </c>
      <c r="T13" s="56">
        <v>4</v>
      </c>
      <c r="U13" s="55">
        <v>5</v>
      </c>
      <c r="V13" s="52">
        <v>1</v>
      </c>
      <c r="W13" s="53">
        <v>1</v>
      </c>
      <c r="X13" s="57">
        <v>30</v>
      </c>
      <c r="Y13" s="53">
        <v>155</v>
      </c>
      <c r="Z13" s="102">
        <v>31</v>
      </c>
      <c r="AA13" s="55">
        <v>181</v>
      </c>
      <c r="AB13" s="56">
        <v>15</v>
      </c>
      <c r="AC13" s="53">
        <v>83</v>
      </c>
      <c r="AD13" s="54">
        <v>8</v>
      </c>
      <c r="AE13" s="53">
        <v>12</v>
      </c>
      <c r="AF13" s="56">
        <v>15</v>
      </c>
      <c r="AG13" s="53">
        <v>27</v>
      </c>
      <c r="AH13" s="58">
        <v>45</v>
      </c>
      <c r="AI13" s="59">
        <v>141</v>
      </c>
      <c r="AJ13" s="58">
        <v>11</v>
      </c>
      <c r="AK13" s="60">
        <v>29</v>
      </c>
      <c r="AL13" s="58">
        <v>10</v>
      </c>
      <c r="AM13" s="60">
        <v>70</v>
      </c>
      <c r="AN13" s="58">
        <v>5</v>
      </c>
      <c r="AO13" s="59">
        <v>6</v>
      </c>
      <c r="AP13" s="58">
        <v>4</v>
      </c>
      <c r="AQ13" s="59">
        <v>4</v>
      </c>
      <c r="AR13" s="78"/>
      <c r="AS13" s="79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</row>
    <row r="14" spans="1:70" ht="35.4" customHeight="1" x14ac:dyDescent="0.3">
      <c r="A14" s="6" t="s">
        <v>27</v>
      </c>
      <c r="B14" s="7" t="s">
        <v>5</v>
      </c>
      <c r="C14" s="5">
        <v>1910</v>
      </c>
      <c r="D14" s="21" t="s">
        <v>0</v>
      </c>
      <c r="E14" s="229"/>
      <c r="F14" s="26">
        <f t="shared" si="0"/>
        <v>247</v>
      </c>
      <c r="G14" s="27">
        <f t="shared" si="1"/>
        <v>1147</v>
      </c>
      <c r="H14" s="31" t="s">
        <v>47</v>
      </c>
      <c r="I14" s="88">
        <v>26</v>
      </c>
      <c r="J14" s="45">
        <v>98</v>
      </c>
      <c r="K14" s="46">
        <v>101</v>
      </c>
      <c r="L14" s="47">
        <v>578</v>
      </c>
      <c r="M14" s="46">
        <v>120</v>
      </c>
      <c r="N14" s="45">
        <v>471</v>
      </c>
      <c r="O14" s="31" t="s">
        <v>47</v>
      </c>
      <c r="P14" s="95">
        <v>8</v>
      </c>
      <c r="Q14" s="5">
        <v>33</v>
      </c>
      <c r="R14" s="97">
        <v>14</v>
      </c>
      <c r="S14" s="53">
        <v>46</v>
      </c>
      <c r="T14" s="56">
        <v>3</v>
      </c>
      <c r="U14" s="55">
        <v>6</v>
      </c>
      <c r="V14" s="52">
        <v>1</v>
      </c>
      <c r="W14" s="53">
        <v>13</v>
      </c>
      <c r="X14" s="57">
        <v>24</v>
      </c>
      <c r="Y14" s="53">
        <v>85</v>
      </c>
      <c r="Z14" s="57">
        <v>13</v>
      </c>
      <c r="AA14" s="55">
        <v>32</v>
      </c>
      <c r="AB14" s="162">
        <v>21</v>
      </c>
      <c r="AC14" s="163">
        <v>282</v>
      </c>
      <c r="AD14" s="137">
        <v>17</v>
      </c>
      <c r="AE14" s="53">
        <v>141</v>
      </c>
      <c r="AF14" s="56">
        <v>26</v>
      </c>
      <c r="AG14" s="53">
        <v>38</v>
      </c>
      <c r="AH14" s="58">
        <v>75</v>
      </c>
      <c r="AI14" s="59">
        <v>274</v>
      </c>
      <c r="AJ14" s="58">
        <v>15</v>
      </c>
      <c r="AK14" s="60">
        <v>85</v>
      </c>
      <c r="AL14" s="58">
        <v>10</v>
      </c>
      <c r="AM14" s="60">
        <v>47</v>
      </c>
      <c r="AN14" s="58">
        <v>11</v>
      </c>
      <c r="AO14" s="59">
        <v>31</v>
      </c>
      <c r="AP14" s="58">
        <v>9</v>
      </c>
      <c r="AQ14" s="59">
        <v>34</v>
      </c>
      <c r="AR14" s="78"/>
      <c r="AS14" s="79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</row>
    <row r="15" spans="1:70" s="15" customFormat="1" ht="35.4" customHeight="1" thickBot="1" x14ac:dyDescent="0.35">
      <c r="A15" s="18" t="s">
        <v>34</v>
      </c>
      <c r="B15" s="13" t="s">
        <v>36</v>
      </c>
      <c r="C15" s="14">
        <v>1910</v>
      </c>
      <c r="D15" s="29" t="s">
        <v>35</v>
      </c>
      <c r="E15" s="230"/>
      <c r="F15" s="73">
        <f t="shared" si="0"/>
        <v>214</v>
      </c>
      <c r="G15" s="74">
        <f t="shared" si="1"/>
        <v>864</v>
      </c>
      <c r="H15" s="32" t="s">
        <v>48</v>
      </c>
      <c r="I15" s="75">
        <v>18</v>
      </c>
      <c r="J15" s="76">
        <v>129</v>
      </c>
      <c r="K15" s="75">
        <v>84</v>
      </c>
      <c r="L15" s="77">
        <v>379</v>
      </c>
      <c r="M15" s="75">
        <v>112</v>
      </c>
      <c r="N15" s="76">
        <v>356</v>
      </c>
      <c r="O15" s="32" t="s">
        <v>48</v>
      </c>
      <c r="P15" s="62">
        <v>6</v>
      </c>
      <c r="Q15" s="66">
        <v>96</v>
      </c>
      <c r="R15" s="64">
        <v>6</v>
      </c>
      <c r="S15" s="65">
        <v>6</v>
      </c>
      <c r="T15" s="64">
        <v>5</v>
      </c>
      <c r="U15" s="63">
        <v>19</v>
      </c>
      <c r="V15" s="61">
        <v>1</v>
      </c>
      <c r="W15" s="65">
        <v>8</v>
      </c>
      <c r="X15" s="69">
        <v>26</v>
      </c>
      <c r="Y15" s="65">
        <v>161</v>
      </c>
      <c r="Z15" s="69">
        <v>19</v>
      </c>
      <c r="AA15" s="63">
        <v>135</v>
      </c>
      <c r="AB15" s="64">
        <v>10</v>
      </c>
      <c r="AC15" s="65">
        <v>33</v>
      </c>
      <c r="AD15" s="62">
        <v>10</v>
      </c>
      <c r="AE15" s="65">
        <v>20</v>
      </c>
      <c r="AF15" s="64">
        <v>19</v>
      </c>
      <c r="AG15" s="65">
        <v>30</v>
      </c>
      <c r="AH15" s="68">
        <v>62</v>
      </c>
      <c r="AI15" s="67">
        <v>181</v>
      </c>
      <c r="AJ15" s="68">
        <v>17</v>
      </c>
      <c r="AK15" s="66">
        <v>81</v>
      </c>
      <c r="AL15" s="68">
        <v>10</v>
      </c>
      <c r="AM15" s="66">
        <v>31</v>
      </c>
      <c r="AN15" s="68">
        <v>15</v>
      </c>
      <c r="AO15" s="67">
        <v>51</v>
      </c>
      <c r="AP15" s="68">
        <v>8</v>
      </c>
      <c r="AQ15" s="67">
        <v>12</v>
      </c>
      <c r="AR15" s="78"/>
      <c r="AS15" s="79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</row>
    <row r="16" spans="1:70" ht="35.4" customHeight="1" thickTop="1" x14ac:dyDescent="0.3">
      <c r="A16" s="9" t="s">
        <v>22</v>
      </c>
      <c r="B16" s="10" t="s">
        <v>6</v>
      </c>
      <c r="C16" s="17">
        <v>1911</v>
      </c>
      <c r="D16" s="23" t="s">
        <v>0</v>
      </c>
      <c r="E16" s="225">
        <v>5530</v>
      </c>
      <c r="F16" s="26">
        <f t="shared" si="0"/>
        <v>262</v>
      </c>
      <c r="G16" s="27">
        <f t="shared" si="1"/>
        <v>1142</v>
      </c>
      <c r="H16" s="33" t="s">
        <v>43</v>
      </c>
      <c r="I16" s="46">
        <v>22</v>
      </c>
      <c r="J16" s="45">
        <v>122</v>
      </c>
      <c r="K16" s="46">
        <v>117</v>
      </c>
      <c r="L16" s="47">
        <v>503</v>
      </c>
      <c r="M16" s="46">
        <v>123</v>
      </c>
      <c r="N16" s="45">
        <v>517</v>
      </c>
      <c r="O16" s="33" t="s">
        <v>43</v>
      </c>
      <c r="P16" s="44">
        <v>5</v>
      </c>
      <c r="Q16" s="11">
        <v>58</v>
      </c>
      <c r="R16" s="46">
        <v>10</v>
      </c>
      <c r="S16" s="47">
        <v>29</v>
      </c>
      <c r="T16" s="46">
        <v>6</v>
      </c>
      <c r="U16" s="45">
        <v>22</v>
      </c>
      <c r="V16" s="70">
        <v>1</v>
      </c>
      <c r="W16" s="47">
        <v>13</v>
      </c>
      <c r="X16" s="48">
        <v>33</v>
      </c>
      <c r="Y16" s="47">
        <v>187</v>
      </c>
      <c r="Z16" s="48">
        <v>14</v>
      </c>
      <c r="AA16" s="45">
        <v>45</v>
      </c>
      <c r="AB16" s="90">
        <v>19</v>
      </c>
      <c r="AC16" s="47">
        <v>72</v>
      </c>
      <c r="AD16" s="44">
        <v>18</v>
      </c>
      <c r="AE16" s="47">
        <v>90</v>
      </c>
      <c r="AF16" s="46">
        <v>33</v>
      </c>
      <c r="AG16" s="47">
        <v>109</v>
      </c>
      <c r="AH16" s="49">
        <v>59</v>
      </c>
      <c r="AI16" s="50">
        <v>207</v>
      </c>
      <c r="AJ16" s="49">
        <v>16</v>
      </c>
      <c r="AK16" s="51">
        <v>168</v>
      </c>
      <c r="AL16" s="49">
        <v>16</v>
      </c>
      <c r="AM16" s="51">
        <v>66</v>
      </c>
      <c r="AN16" s="49">
        <v>10</v>
      </c>
      <c r="AO16" s="50">
        <v>20</v>
      </c>
      <c r="AP16" s="171">
        <v>22</v>
      </c>
      <c r="AQ16" s="113">
        <v>56</v>
      </c>
      <c r="AR16" s="78"/>
      <c r="AS16" s="79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</row>
    <row r="17" spans="1:70" ht="30.6" customHeight="1" x14ac:dyDescent="0.3">
      <c r="A17" s="6" t="s">
        <v>28</v>
      </c>
      <c r="B17" s="7" t="s">
        <v>7</v>
      </c>
      <c r="C17" s="5">
        <v>1912</v>
      </c>
      <c r="D17" s="21" t="s">
        <v>0</v>
      </c>
      <c r="E17" s="226"/>
      <c r="F17" s="26">
        <f t="shared" si="0"/>
        <v>241</v>
      </c>
      <c r="G17" s="27">
        <f t="shared" si="1"/>
        <v>917</v>
      </c>
      <c r="H17" s="33" t="s">
        <v>49</v>
      </c>
      <c r="I17" s="46">
        <v>12</v>
      </c>
      <c r="J17" s="45">
        <v>85</v>
      </c>
      <c r="K17" s="46">
        <v>116</v>
      </c>
      <c r="L17" s="47">
        <v>381</v>
      </c>
      <c r="M17" s="46">
        <v>113</v>
      </c>
      <c r="N17" s="45">
        <v>451</v>
      </c>
      <c r="O17" s="33" t="s">
        <v>49</v>
      </c>
      <c r="P17" s="54">
        <v>5</v>
      </c>
      <c r="Q17" s="5">
        <v>59</v>
      </c>
      <c r="R17" s="56"/>
      <c r="S17" s="53"/>
      <c r="T17" s="56">
        <v>6</v>
      </c>
      <c r="U17" s="55">
        <v>21</v>
      </c>
      <c r="V17" s="52">
        <v>1</v>
      </c>
      <c r="W17" s="53">
        <v>5</v>
      </c>
      <c r="X17" s="57">
        <v>34</v>
      </c>
      <c r="Y17" s="53">
        <v>143</v>
      </c>
      <c r="Z17" s="57">
        <v>18</v>
      </c>
      <c r="AA17" s="55">
        <v>61</v>
      </c>
      <c r="AB17" s="56">
        <v>9</v>
      </c>
      <c r="AC17" s="53">
        <v>22</v>
      </c>
      <c r="AD17" s="165">
        <v>19</v>
      </c>
      <c r="AE17" s="53">
        <v>73</v>
      </c>
      <c r="AF17" s="56">
        <v>36</v>
      </c>
      <c r="AG17" s="53">
        <v>82</v>
      </c>
      <c r="AH17" s="58">
        <v>51</v>
      </c>
      <c r="AI17" s="59">
        <v>194</v>
      </c>
      <c r="AJ17" s="58">
        <v>15</v>
      </c>
      <c r="AK17" s="60">
        <v>112</v>
      </c>
      <c r="AL17" s="58">
        <v>13</v>
      </c>
      <c r="AM17" s="60">
        <v>40</v>
      </c>
      <c r="AN17" s="108">
        <v>21</v>
      </c>
      <c r="AO17" s="109">
        <v>76</v>
      </c>
      <c r="AP17" s="58">
        <v>13</v>
      </c>
      <c r="AQ17" s="59">
        <v>29</v>
      </c>
      <c r="AR17" s="78"/>
      <c r="AS17" s="79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</row>
    <row r="18" spans="1:70" ht="28.8" customHeight="1" x14ac:dyDescent="0.3">
      <c r="A18" s="6" t="s">
        <v>16</v>
      </c>
      <c r="B18" s="7" t="s">
        <v>8</v>
      </c>
      <c r="C18" s="5">
        <v>1913</v>
      </c>
      <c r="D18" s="21" t="s">
        <v>0</v>
      </c>
      <c r="E18" s="226"/>
      <c r="F18" s="26">
        <f t="shared" si="0"/>
        <v>287</v>
      </c>
      <c r="G18" s="157">
        <f t="shared" si="1"/>
        <v>2385</v>
      </c>
      <c r="H18" s="35"/>
      <c r="I18" s="46">
        <v>21</v>
      </c>
      <c r="J18" s="87">
        <v>311</v>
      </c>
      <c r="K18" s="90">
        <v>131</v>
      </c>
      <c r="L18" s="141">
        <v>1108</v>
      </c>
      <c r="M18" s="46">
        <v>135</v>
      </c>
      <c r="N18" s="140">
        <v>966</v>
      </c>
      <c r="O18" s="31"/>
      <c r="P18" s="54">
        <v>6</v>
      </c>
      <c r="Q18" s="152">
        <v>185</v>
      </c>
      <c r="R18" s="56">
        <v>7</v>
      </c>
      <c r="S18" s="154">
        <v>76</v>
      </c>
      <c r="T18" s="97">
        <v>7</v>
      </c>
      <c r="U18" s="94">
        <v>38</v>
      </c>
      <c r="V18" s="52">
        <v>1</v>
      </c>
      <c r="W18" s="53">
        <v>12</v>
      </c>
      <c r="X18" s="102">
        <v>37</v>
      </c>
      <c r="Y18" s="105">
        <v>389</v>
      </c>
      <c r="Z18" s="102">
        <v>29</v>
      </c>
      <c r="AA18" s="104">
        <v>281</v>
      </c>
      <c r="AB18" s="56">
        <v>14</v>
      </c>
      <c r="AC18" s="53">
        <v>107</v>
      </c>
      <c r="AD18" s="54">
        <v>16</v>
      </c>
      <c r="AE18" s="105">
        <v>164</v>
      </c>
      <c r="AF18" s="56">
        <v>35</v>
      </c>
      <c r="AG18" s="105">
        <v>167</v>
      </c>
      <c r="AH18" s="108">
        <v>75</v>
      </c>
      <c r="AI18" s="109">
        <v>467</v>
      </c>
      <c r="AJ18" s="58">
        <v>17</v>
      </c>
      <c r="AK18" s="112">
        <v>303</v>
      </c>
      <c r="AL18" s="108">
        <v>19</v>
      </c>
      <c r="AM18" s="112">
        <v>135</v>
      </c>
      <c r="AN18" s="58">
        <v>9</v>
      </c>
      <c r="AO18" s="59">
        <v>22</v>
      </c>
      <c r="AP18" s="58">
        <v>15</v>
      </c>
      <c r="AQ18" s="59">
        <v>39</v>
      </c>
      <c r="AR18" s="78"/>
      <c r="AS18" s="79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</row>
    <row r="19" spans="1:70" s="15" customFormat="1" ht="32.4" customHeight="1" thickBot="1" x14ac:dyDescent="0.35">
      <c r="A19" s="6" t="s">
        <v>21</v>
      </c>
      <c r="B19" s="7" t="s">
        <v>9</v>
      </c>
      <c r="C19" s="14">
        <v>1914</v>
      </c>
      <c r="D19" s="22" t="s">
        <v>1</v>
      </c>
      <c r="E19" s="227"/>
      <c r="F19" s="26">
        <f t="shared" si="0"/>
        <v>217</v>
      </c>
      <c r="G19" s="27">
        <f t="shared" si="1"/>
        <v>1086</v>
      </c>
      <c r="H19" s="32"/>
      <c r="I19" s="46">
        <v>16</v>
      </c>
      <c r="J19" s="45">
        <v>196</v>
      </c>
      <c r="K19" s="46">
        <v>99</v>
      </c>
      <c r="L19" s="47">
        <v>591</v>
      </c>
      <c r="M19" s="46">
        <v>102</v>
      </c>
      <c r="N19" s="45">
        <v>299</v>
      </c>
      <c r="O19" s="32"/>
      <c r="P19" s="62">
        <v>6</v>
      </c>
      <c r="Q19" s="66">
        <v>127</v>
      </c>
      <c r="R19" s="64">
        <v>7</v>
      </c>
      <c r="S19" s="93">
        <v>64</v>
      </c>
      <c r="T19" s="64">
        <v>2</v>
      </c>
      <c r="U19" s="63">
        <v>4</v>
      </c>
      <c r="V19" s="61">
        <v>1</v>
      </c>
      <c r="W19" s="65">
        <v>1</v>
      </c>
      <c r="X19" s="69">
        <v>31</v>
      </c>
      <c r="Y19" s="65">
        <v>179</v>
      </c>
      <c r="Z19" s="69">
        <v>22</v>
      </c>
      <c r="AA19" s="63">
        <v>148</v>
      </c>
      <c r="AB19" s="64">
        <v>9</v>
      </c>
      <c r="AC19" s="65">
        <v>66</v>
      </c>
      <c r="AD19" s="62">
        <v>15</v>
      </c>
      <c r="AE19" s="65">
        <v>122</v>
      </c>
      <c r="AF19" s="64">
        <v>22</v>
      </c>
      <c r="AG19" s="65">
        <v>76</v>
      </c>
      <c r="AH19" s="68">
        <v>59</v>
      </c>
      <c r="AI19" s="67">
        <v>153</v>
      </c>
      <c r="AJ19" s="68">
        <v>11</v>
      </c>
      <c r="AK19" s="66">
        <v>42</v>
      </c>
      <c r="AL19" s="68">
        <v>14</v>
      </c>
      <c r="AM19" s="66">
        <v>59</v>
      </c>
      <c r="AN19" s="68">
        <v>5</v>
      </c>
      <c r="AO19" s="67">
        <v>14</v>
      </c>
      <c r="AP19" s="68">
        <v>13</v>
      </c>
      <c r="AQ19" s="67">
        <v>31</v>
      </c>
      <c r="AR19" s="78"/>
      <c r="AS19" s="79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</row>
    <row r="20" spans="1:70" s="135" customFormat="1" ht="84" customHeight="1" thickTop="1" thickBot="1" x14ac:dyDescent="0.35">
      <c r="A20" s="125"/>
      <c r="B20" s="125"/>
      <c r="C20" s="231" t="s">
        <v>39</v>
      </c>
      <c r="D20" s="231"/>
      <c r="E20" s="232"/>
      <c r="F20" s="126" t="s">
        <v>86</v>
      </c>
      <c r="G20" s="127">
        <f>SUM(G5:G19)</f>
        <v>20981</v>
      </c>
      <c r="H20" s="34" t="s">
        <v>53</v>
      </c>
      <c r="I20" s="85" t="s">
        <v>72</v>
      </c>
      <c r="J20" s="116">
        <f t="shared" ref="J20:N20" si="2">SUM(J5:J19)</f>
        <v>2696</v>
      </c>
      <c r="K20" s="128" t="s">
        <v>71</v>
      </c>
      <c r="L20" s="119">
        <f>SUM(L5:L19)</f>
        <v>9573</v>
      </c>
      <c r="M20" s="129" t="s">
        <v>85</v>
      </c>
      <c r="N20" s="130">
        <f t="shared" si="2"/>
        <v>8712</v>
      </c>
      <c r="O20" s="34" t="s">
        <v>53</v>
      </c>
      <c r="P20" s="131" t="s">
        <v>74</v>
      </c>
      <c r="Q20" s="132">
        <f>SUM(Q5:Q19)</f>
        <v>1676</v>
      </c>
      <c r="R20" s="85" t="s">
        <v>75</v>
      </c>
      <c r="S20" s="116">
        <f>SUM(S5:S19)</f>
        <v>496</v>
      </c>
      <c r="T20" s="85" t="s">
        <v>76</v>
      </c>
      <c r="U20" s="117">
        <f t="shared" ref="U20" si="3">SUM(U5:U19)</f>
        <v>330</v>
      </c>
      <c r="V20" s="85" t="s">
        <v>73</v>
      </c>
      <c r="W20" s="115">
        <f t="shared" ref="W20" si="4">SUM(W5:W19)</f>
        <v>194</v>
      </c>
      <c r="X20" s="82" t="s">
        <v>78</v>
      </c>
      <c r="Y20" s="118">
        <f>SUM(Y5:Y19)</f>
        <v>3209</v>
      </c>
      <c r="Z20" s="82" t="s">
        <v>77</v>
      </c>
      <c r="AA20" s="133">
        <f>SUM(AA5:AA19)</f>
        <v>2259</v>
      </c>
      <c r="AB20" s="82" t="s">
        <v>81</v>
      </c>
      <c r="AC20" s="118">
        <f>SUM(AC5:AC19)</f>
        <v>1456</v>
      </c>
      <c r="AD20" s="134" t="s">
        <v>80</v>
      </c>
      <c r="AE20" s="118">
        <f>SUM(AE5:AE19)</f>
        <v>1359</v>
      </c>
      <c r="AF20" s="82" t="s">
        <v>79</v>
      </c>
      <c r="AG20" s="119">
        <f>SUM(AG5:AG19)</f>
        <v>1290</v>
      </c>
      <c r="AH20" s="129" t="s">
        <v>82</v>
      </c>
      <c r="AI20" s="121">
        <f>SUM(AI5:AI19)</f>
        <v>3973</v>
      </c>
      <c r="AJ20" s="86" t="s">
        <v>83</v>
      </c>
      <c r="AK20" s="120">
        <f>SUM(AK5:AK19)</f>
        <v>2372</v>
      </c>
      <c r="AL20" s="86" t="s">
        <v>81</v>
      </c>
      <c r="AM20" s="120">
        <f>SUM(AM5:AM19)</f>
        <v>1155</v>
      </c>
      <c r="AN20" s="86" t="s">
        <v>84</v>
      </c>
      <c r="AO20" s="121">
        <f>SUM(AO5:AO19)</f>
        <v>697</v>
      </c>
      <c r="AP20" s="86" t="s">
        <v>84</v>
      </c>
      <c r="AQ20" s="121">
        <f>SUM(AQ5:AQ19)</f>
        <v>515</v>
      </c>
      <c r="AR20" s="98"/>
      <c r="AS20" s="80"/>
      <c r="AT20" s="80"/>
      <c r="AU20" s="80"/>
      <c r="AV20" s="80"/>
      <c r="AW20" s="80"/>
      <c r="AX20" s="80"/>
    </row>
    <row r="21" spans="1:70" ht="16.2" thickTop="1" x14ac:dyDescent="0.3">
      <c r="A21" s="216"/>
      <c r="B21" s="216"/>
      <c r="AJ21" s="4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</row>
    <row r="22" spans="1:70" x14ac:dyDescent="0.3">
      <c r="A22" s="216"/>
      <c r="B22" s="216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</row>
    <row r="23" spans="1:70" x14ac:dyDescent="0.3">
      <c r="A23" s="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</row>
    <row r="24" spans="1:70" x14ac:dyDescent="0.3">
      <c r="A24" s="2"/>
    </row>
    <row r="25" spans="1:70" x14ac:dyDescent="0.3">
      <c r="A25" s="2"/>
    </row>
    <row r="26" spans="1:70" x14ac:dyDescent="0.3">
      <c r="A26" s="2"/>
    </row>
    <row r="27" spans="1:70" x14ac:dyDescent="0.3">
      <c r="A27" s="2"/>
    </row>
    <row r="28" spans="1:70" x14ac:dyDescent="0.3">
      <c r="A28" s="2"/>
    </row>
    <row r="29" spans="1:70" x14ac:dyDescent="0.3">
      <c r="A29" s="2"/>
    </row>
    <row r="30" spans="1:70" x14ac:dyDescent="0.3">
      <c r="A30" s="2"/>
    </row>
    <row r="31" spans="1:70" x14ac:dyDescent="0.3">
      <c r="A31" s="2"/>
    </row>
    <row r="32" spans="1:70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</sheetData>
  <sortState xmlns:xlrd2="http://schemas.microsoft.com/office/spreadsheetml/2017/richdata2" columnSort="1" ref="A1:AQ22">
    <sortCondition ref="R2:AP2"/>
  </sortState>
  <mergeCells count="52">
    <mergeCell ref="A21:B22"/>
    <mergeCell ref="A1:D1"/>
    <mergeCell ref="I1:J1"/>
    <mergeCell ref="K1:L1"/>
    <mergeCell ref="F1:G1"/>
    <mergeCell ref="E5:E9"/>
    <mergeCell ref="E10:E15"/>
    <mergeCell ref="E16:E19"/>
    <mergeCell ref="C20:E20"/>
    <mergeCell ref="A2:A4"/>
    <mergeCell ref="B2:B4"/>
    <mergeCell ref="C2:C4"/>
    <mergeCell ref="D2:D4"/>
    <mergeCell ref="E2:E4"/>
    <mergeCell ref="F2:F4"/>
    <mergeCell ref="P1:W1"/>
    <mergeCell ref="X1:AG1"/>
    <mergeCell ref="AH1:AQ1"/>
    <mergeCell ref="O1:O4"/>
    <mergeCell ref="X2:Y2"/>
    <mergeCell ref="AF2:AG2"/>
    <mergeCell ref="AD2:AE2"/>
    <mergeCell ref="Z3:AA3"/>
    <mergeCell ref="X3:Y3"/>
    <mergeCell ref="AF3:AG3"/>
    <mergeCell ref="V2:W3"/>
    <mergeCell ref="AN2:AO2"/>
    <mergeCell ref="AB2:AC2"/>
    <mergeCell ref="AH2:AI2"/>
    <mergeCell ref="AJ2:AK2"/>
    <mergeCell ref="AN3:AO3"/>
    <mergeCell ref="M1:N1"/>
    <mergeCell ref="G2:G4"/>
    <mergeCell ref="H1:H4"/>
    <mergeCell ref="I2:I4"/>
    <mergeCell ref="J2:J4"/>
    <mergeCell ref="K2:K4"/>
    <mergeCell ref="AP2:AQ2"/>
    <mergeCell ref="AL2:AM2"/>
    <mergeCell ref="L2:L4"/>
    <mergeCell ref="M2:M4"/>
    <mergeCell ref="N2:N4"/>
    <mergeCell ref="Z2:AA2"/>
    <mergeCell ref="P2:Q3"/>
    <mergeCell ref="R2:S3"/>
    <mergeCell ref="T2:U3"/>
    <mergeCell ref="AL3:AM3"/>
    <mergeCell ref="AD3:AE3"/>
    <mergeCell ref="AB3:AC3"/>
    <mergeCell ref="AH3:AI3"/>
    <mergeCell ref="AJ3:AK3"/>
    <mergeCell ref="AP3:AQ3"/>
  </mergeCells>
  <conditionalFormatting sqref="P5:P19 V5:W19">
    <cfRule type="cellIs" dxfId="0" priority="1" operator="greaterThan">
      <formula>116.5</formula>
    </cfRule>
  </conditionalFormatting>
  <hyperlinks>
    <hyperlink ref="D19" r:id="rId1" display="https://archive.org/details/throughspainreco00dickrich/page/n13/mode/2up" xr:uid="{B65BD2F7-3030-4DD8-9E66-829BA23D7C93}"/>
    <hyperlink ref="D18" r:id="rId2" display="https://www.gutenberg.org/ebooks/7430" xr:uid="{BC5C28BE-651A-4CD9-B459-BBBE27878BB5}"/>
    <hyperlink ref="D17" r:id="rId3" display="https://www.gutenberg.org/ebooks/40201" xr:uid="{B338EA06-0898-4DB5-8BB2-0C91C4782DDB}"/>
    <hyperlink ref="D11" r:id="rId4" display="https://archive.org/details/sunshadowinspain00elliuoft" xr:uid="{1BBD192C-944F-4D78-A20A-3AD5A49D9F1D}"/>
    <hyperlink ref="D9" r:id="rId5" display="https://www.gutenberg.org/ebooks/27252" xr:uid="{F4D48205-12A1-4E68-96EF-62F6181832FA}"/>
    <hyperlink ref="D8" r:id="rId6" display="https://archive.org/details/atrampinspain00unkngoog/page/n8/mode/2up" xr:uid="{301E4A48-EEEE-4488-BADA-AC13B76B83A8}"/>
    <hyperlink ref="D7" r:id="rId7" display="https://www.gutenberg.org/ebooks/59944" xr:uid="{B79205B5-91A6-46F0-A96E-62FDEEDBCFF0}"/>
    <hyperlink ref="D5" r:id="rId8" display="https://www.gutenberg.org/ebooks/38767" xr:uid="{B946F2F7-514E-4B2B-B04B-CF82F1CABAB3}"/>
    <hyperlink ref="D10" r:id="rId9" display="https://www.gutenberg.org/ebooks/37944" xr:uid="{B6F7DD07-8261-472F-A654-584BC2D9E8C2}"/>
    <hyperlink ref="D14" r:id="rId10" display="https://www.gutenberg.org/ebooks/41593" xr:uid="{54EA4656-F2CA-412B-A878-1F8ECD46BD82}"/>
    <hyperlink ref="D6" r:id="rId11" display="https://archive.org/details/landofdons00will/page/n19/mode/2up" xr:uid="{7F43A86B-9BAB-4E8A-B804-0727156123A0}"/>
    <hyperlink ref="D16" r:id="rId12" display="https://www.gutenberg.org/ebooks/40357" xr:uid="{EAE024E8-79A2-4D96-BFB5-FE7227BE9EF7}"/>
    <hyperlink ref="D15" r:id="rId13" display="https://www.gutenberg.org/ebooks/author/39917" xr:uid="{35A74380-6EE2-4531-B4EF-1A23B374EDAB}"/>
    <hyperlink ref="D12" r:id="rId14" display="https://archive.org/details/spainoftodaynarr00shaw/page/n11/mode/2up" xr:uid="{94FFF183-BDFC-476D-B369-CFAFE2696E31}"/>
    <hyperlink ref="D13" r:id="rId15" display="https://www.gutenberg.org/ebooks/40356" xr:uid="{4A54A610-3B2F-46C1-A052-C2C4CE140061}"/>
  </hyperlinks>
  <pageMargins left="0.70866141732283472" right="0.70866141732283472" top="0.74803149606299213" bottom="0.74803149606299213" header="0.31496062992125984" footer="0.31496062992125984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EF0E-19C1-4AC9-BB57-C6BB0BBB8E3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1E4D-883E-4343-8F83-09F91D0DECBF}">
  <dimension ref="A1:A29"/>
  <sheetViews>
    <sheetView zoomScale="60" zoomScaleNormal="60" workbookViewId="0">
      <selection activeCell="J18" sqref="J18"/>
    </sheetView>
  </sheetViews>
  <sheetFormatPr baseColWidth="10" defaultColWidth="8.88671875" defaultRowHeight="15.6" x14ac:dyDescent="0.3"/>
  <cols>
    <col min="1" max="16384" width="8.88671875" style="1"/>
  </cols>
  <sheetData>
    <row r="1" spans="1:1" ht="16.2" customHeight="1" x14ac:dyDescent="0.3">
      <c r="A1" s="2"/>
    </row>
    <row r="2" spans="1:1" x14ac:dyDescent="0.3">
      <c r="A2" s="2"/>
    </row>
    <row r="3" spans="1:1" ht="23.4" customHeight="1" x14ac:dyDescent="0.3">
      <c r="A3" s="2"/>
    </row>
    <row r="4" spans="1:1" ht="31.2" customHeight="1" x14ac:dyDescent="0.3">
      <c r="A4" s="2"/>
    </row>
    <row r="5" spans="1:1" ht="31.2" customHeight="1" x14ac:dyDescent="0.3">
      <c r="A5" s="2"/>
    </row>
    <row r="6" spans="1:1" ht="31.2" customHeight="1" x14ac:dyDescent="0.3">
      <c r="A6" s="2"/>
    </row>
    <row r="7" spans="1:1" ht="31.2" customHeight="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ht="31.2" customHeight="1" x14ac:dyDescent="0.3">
      <c r="A11" s="2"/>
    </row>
    <row r="12" spans="1:1" x14ac:dyDescent="0.3">
      <c r="A12" s="2"/>
    </row>
    <row r="13" spans="1:1" ht="31.2" customHeight="1" x14ac:dyDescent="0.3">
      <c r="A13" s="2"/>
    </row>
    <row r="14" spans="1:1" ht="31.2" customHeight="1" x14ac:dyDescent="0.3">
      <c r="A14" s="2"/>
    </row>
    <row r="15" spans="1:1" ht="31.2" customHeight="1" x14ac:dyDescent="0.3">
      <c r="A15" s="2"/>
    </row>
    <row r="16" spans="1:1" ht="31.2" customHeight="1" x14ac:dyDescent="0.3">
      <c r="A16" s="2"/>
    </row>
    <row r="17" spans="1:1" ht="25.8" customHeight="1" x14ac:dyDescent="0.3">
      <c r="A17" s="2"/>
    </row>
    <row r="18" spans="1:1" ht="31.2" customHeight="1" x14ac:dyDescent="0.3">
      <c r="A18" s="2"/>
    </row>
    <row r="19" spans="1:1" x14ac:dyDescent="0.3">
      <c r="A19" s="2"/>
    </row>
    <row r="20" spans="1:1" ht="21" x14ac:dyDescent="0.3">
      <c r="A20" s="3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RELACIÓN GENERAL</vt:lpstr>
      <vt:lpstr>Hoja1</vt:lpstr>
      <vt:lpstr>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cp:lastPrinted>2026-04-22T21:23:47Z</cp:lastPrinted>
  <dcterms:created xsi:type="dcterms:W3CDTF">2015-06-05T18:19:34Z</dcterms:created>
  <dcterms:modified xsi:type="dcterms:W3CDTF">2026-05-27T06:53:59Z</dcterms:modified>
</cp:coreProperties>
</file>