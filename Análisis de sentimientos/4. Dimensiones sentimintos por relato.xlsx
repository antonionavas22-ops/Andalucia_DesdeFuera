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6641BFBF-FAFD-4D4B-957F-4B3517DF9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OCION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4" l="1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R19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P6" i="4" l="1"/>
  <c r="P4" i="4"/>
  <c r="P16" i="4" l="1"/>
  <c r="P5" i="4"/>
  <c r="P18" i="4"/>
  <c r="P17" i="4"/>
  <c r="P15" i="4"/>
  <c r="P14" i="4"/>
  <c r="P9" i="4"/>
  <c r="P10" i="4"/>
  <c r="P11" i="4"/>
  <c r="P12" i="4"/>
  <c r="P13" i="4"/>
  <c r="N19" i="4"/>
  <c r="P8" i="4"/>
  <c r="P7" i="4"/>
  <c r="O19" i="4"/>
  <c r="S19" i="4" l="1"/>
  <c r="T19" i="4" s="1"/>
  <c r="T18" i="4"/>
  <c r="I19" i="4"/>
  <c r="H19" i="4"/>
  <c r="L19" i="4"/>
  <c r="F19" i="4"/>
  <c r="K19" i="4"/>
  <c r="J19" i="4"/>
  <c r="M19" i="4"/>
  <c r="G19" i="4"/>
</calcChain>
</file>

<file path=xl/sharedStrings.xml><?xml version="1.0" encoding="utf-8"?>
<sst xmlns="http://schemas.openxmlformats.org/spreadsheetml/2006/main" count="103" uniqueCount="74">
  <si>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</si>
  <si>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</si>
  <si>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</si>
  <si>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</si>
  <si>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</si>
  <si>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</si>
  <si>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</si>
  <si>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</si>
  <si>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</si>
  <si>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</si>
  <si>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</si>
  <si>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</si>
  <si>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</si>
  <si>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</si>
  <si>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</si>
  <si>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</si>
  <si>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</si>
  <si>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</si>
  <si>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</si>
  <si>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</si>
  <si>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</si>
  <si>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</si>
  <si>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</si>
  <si>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</si>
  <si>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</si>
  <si>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</si>
  <si>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</si>
  <si>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</si>
  <si>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</si>
  <si>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</si>
  <si>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</si>
  <si>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</si>
  <si>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</si>
  <si>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</si>
  <si>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</si>
  <si>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</si>
  <si>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</si>
  <si>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POSITIVO</t>
  </si>
  <si>
    <t>NEGATIVO</t>
  </si>
  <si>
    <t>JOY</t>
  </si>
  <si>
    <t>TRUST</t>
  </si>
  <si>
    <t>ANTICIPATION</t>
  </si>
  <si>
    <t>SURPRISE</t>
  </si>
  <si>
    <t>POSITIVE</t>
  </si>
  <si>
    <t>ANGER</t>
  </si>
  <si>
    <t>DISGUST</t>
  </si>
  <si>
    <t>FEAR</t>
  </si>
  <si>
    <t>SADNESS</t>
  </si>
  <si>
    <t>NEGATIVE</t>
  </si>
  <si>
    <t>TOTAL NEGATIVO</t>
  </si>
  <si>
    <t>TOTAL POSITIVO</t>
  </si>
  <si>
    <t>TOTALES INDIVIDUALES</t>
  </si>
  <si>
    <t>COMPARADO (SUMATORIO DE LAS ESPECÍFICAS)</t>
  </si>
  <si>
    <t>M</t>
  </si>
  <si>
    <t>I</t>
  </si>
  <si>
    <t>G</t>
  </si>
  <si>
    <t>E</t>
  </si>
  <si>
    <t>N</t>
  </si>
  <si>
    <t>S</t>
  </si>
  <si>
    <t>O</t>
  </si>
  <si>
    <t>2. GENERAL (valores generales de syuzeth)</t>
  </si>
  <si>
    <t>1. ESPECÍFICO (ocho valores específicos de syuzeth)</t>
  </si>
  <si>
    <t>LECTURA HORIZONTAL POR OBRA. DOMINANCIA EMOCIONAL: se marca la emoción positiva y negativa con el resultado más alto. Y de estas, en negrita la superior frente a la otra.</t>
  </si>
  <si>
    <t>LECTURA VERTICAL GENERAL DE OBRAS. DIFERENCIA  DE LOS TOTALES: Se marcan las tres obras más positivas en verde y las tres menos en rojo. En ambas, en negrita lá máxima de ambos extremos</t>
  </si>
  <si>
    <t>P</t>
  </si>
  <si>
    <t>RELATOS DE VIAJE ANGLOSAJONES (1900-1914)</t>
  </si>
  <si>
    <t>L</t>
  </si>
  <si>
    <t>R</t>
  </si>
  <si>
    <t>C</t>
  </si>
  <si>
    <t>A</t>
  </si>
  <si>
    <t>F.</t>
  </si>
  <si>
    <t xml:space="preserve">LECTURA VERTICAL GENERAL DE OBRAS. </t>
  </si>
  <si>
    <t>TOTALES DE SENTIMIENTOS</t>
  </si>
  <si>
    <t>MEDIA DE SENTIMIENTOS POR TIPO Y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</si>
</sst>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6"/>
      <name val="Calibri Light"/>
      <family val="2"/>
      <scheme val="major"/>
    </font>
    <font>
      <b/>
      <sz val="16"/>
      <name val="Calibri Light"/>
      <family val="2"/>
      <scheme val="major"/>
    </font>
    <font>
      <sz val="16"/>
      <color theme="1"/>
      <name val="Calibri"/>
      <family val="2"/>
      <scheme val="minor"/>
    </font>
    <font>
      <sz val="16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BFFD1"/>
        <bgColor indexed="64"/>
      </patternFill>
    </fill>
    <fill>
      <patternFill patternType="solid">
        <fgColor rgb="FFFFA3A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theme="1" tint="0.14999847407452621"/>
      </top>
      <bottom style="thick">
        <color indexed="64"/>
      </bottom>
      <diagonal/>
    </border>
    <border>
      <left style="thin">
        <color indexed="64"/>
      </left>
      <right/>
      <top style="thick">
        <color theme="1" tint="0.14999847407452621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theme="1" tint="0.1499984740745262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rgb="FFC00000"/>
      </bottom>
      <diagonal/>
    </border>
    <border>
      <left style="thick">
        <color indexed="64"/>
      </left>
      <right/>
      <top/>
      <bottom style="thick">
        <color rgb="FF7030A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rgb="FF7030A0"/>
      </bottom>
      <diagonal/>
    </border>
    <border>
      <left style="thick">
        <color indexed="64"/>
      </left>
      <right/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 style="thick">
        <color indexed="64"/>
      </left>
      <right style="thick">
        <color indexed="64"/>
      </right>
      <top/>
      <bottom style="thick">
        <color rgb="FF7030A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/>
    </xf>
    <xf numFmtId="0" fontId="6" fillId="0" borderId="6" xfId="1" applyFont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1" fillId="0" borderId="4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31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0" fontId="11" fillId="0" borderId="34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9" xfId="1" applyFont="1" applyFill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0" fillId="0" borderId="19" xfId="0" applyBorder="1"/>
    <xf numFmtId="0" fontId="11" fillId="0" borderId="30" xfId="1" applyFont="1" applyFill="1" applyBorder="1" applyAlignment="1">
      <alignment horizontal="center" vertical="center" wrapText="1"/>
    </xf>
    <xf numFmtId="0" fontId="11" fillId="0" borderId="33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1" fillId="0" borderId="32" xfId="1" applyFont="1" applyFill="1" applyBorder="1" applyAlignment="1">
      <alignment horizontal="center" vertical="center" wrapText="1"/>
    </xf>
    <xf numFmtId="0" fontId="11" fillId="0" borderId="46" xfId="1" applyFont="1" applyFill="1" applyBorder="1" applyAlignment="1">
      <alignment horizontal="center" vertical="center" wrapText="1"/>
    </xf>
    <xf numFmtId="0" fontId="11" fillId="0" borderId="47" xfId="1" applyFont="1" applyFill="1" applyBorder="1" applyAlignment="1">
      <alignment horizontal="center" vertical="center" wrapText="1"/>
    </xf>
    <xf numFmtId="0" fontId="11" fillId="0" borderId="43" xfId="1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3" fillId="8" borderId="41" xfId="0" applyFont="1" applyFill="1" applyBorder="1" applyAlignment="1">
      <alignment horizontal="center" vertical="center" wrapText="1"/>
    </xf>
    <xf numFmtId="0" fontId="10" fillId="9" borderId="42" xfId="0" applyFont="1" applyFill="1" applyBorder="1" applyAlignment="1">
      <alignment horizontal="center" vertical="center" wrapText="1"/>
    </xf>
    <xf numFmtId="0" fontId="14" fillId="8" borderId="4" xfId="1" applyFont="1" applyFill="1" applyBorder="1" applyAlignment="1">
      <alignment horizontal="center" vertical="center" wrapText="1"/>
    </xf>
    <xf numFmtId="0" fontId="14" fillId="8" borderId="6" xfId="1" applyFont="1" applyFill="1" applyBorder="1" applyAlignment="1">
      <alignment horizontal="center" vertical="center" wrapText="1"/>
    </xf>
    <xf numFmtId="0" fontId="14" fillId="8" borderId="9" xfId="1" applyFont="1" applyFill="1" applyBorder="1" applyAlignment="1">
      <alignment horizontal="center" vertical="center" wrapText="1"/>
    </xf>
    <xf numFmtId="0" fontId="14" fillId="8" borderId="14" xfId="1" applyFont="1" applyFill="1" applyBorder="1" applyAlignment="1">
      <alignment horizontal="center" vertical="center" wrapText="1"/>
    </xf>
    <xf numFmtId="0" fontId="11" fillId="8" borderId="6" xfId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15" fillId="9" borderId="47" xfId="0" applyFont="1" applyFill="1" applyBorder="1" applyAlignment="1">
      <alignment horizontal="center" vertical="center" wrapText="1"/>
    </xf>
    <xf numFmtId="0" fontId="15" fillId="8" borderId="43" xfId="0" applyFont="1" applyFill="1" applyBorder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6" fillId="9" borderId="4" xfId="1" applyFont="1" applyFill="1" applyBorder="1" applyAlignment="1">
      <alignment horizontal="center" vertical="center" wrapText="1"/>
    </xf>
    <xf numFmtId="0" fontId="16" fillId="9" borderId="10" xfId="1" applyFont="1" applyFill="1" applyBorder="1" applyAlignment="1">
      <alignment horizontal="center" vertical="center" wrapText="1"/>
    </xf>
    <xf numFmtId="0" fontId="16" fillId="9" borderId="6" xfId="1" applyFont="1" applyFill="1" applyBorder="1" applyAlignment="1">
      <alignment horizontal="center" vertical="center" wrapText="1"/>
    </xf>
    <xf numFmtId="0" fontId="17" fillId="9" borderId="1" xfId="1" applyFont="1" applyFill="1" applyBorder="1" applyAlignment="1">
      <alignment horizontal="center" vertical="center" wrapText="1"/>
    </xf>
    <xf numFmtId="0" fontId="17" fillId="9" borderId="6" xfId="1" applyFont="1" applyFill="1" applyBorder="1" applyAlignment="1">
      <alignment horizontal="center" vertical="center" wrapText="1"/>
    </xf>
    <xf numFmtId="0" fontId="19" fillId="8" borderId="46" xfId="0" applyFont="1" applyFill="1" applyBorder="1" applyAlignment="1">
      <alignment horizontal="center" vertical="center" wrapText="1"/>
    </xf>
    <xf numFmtId="0" fontId="19" fillId="9" borderId="47" xfId="0" applyFont="1" applyFill="1" applyBorder="1" applyAlignment="1">
      <alignment horizontal="center" vertical="center" wrapText="1"/>
    </xf>
    <xf numFmtId="0" fontId="19" fillId="8" borderId="47" xfId="0" applyFont="1" applyFill="1" applyBorder="1" applyAlignment="1">
      <alignment horizontal="center" vertical="center" wrapText="1"/>
    </xf>
    <xf numFmtId="0" fontId="19" fillId="9" borderId="43" xfId="0" applyFont="1" applyFill="1" applyBorder="1" applyAlignment="1">
      <alignment horizontal="center" vertical="center" wrapText="1"/>
    </xf>
    <xf numFmtId="0" fontId="19" fillId="8" borderId="43" xfId="0" applyFont="1" applyFill="1" applyBorder="1" applyAlignment="1">
      <alignment horizontal="center" vertical="center" wrapText="1"/>
    </xf>
    <xf numFmtId="0" fontId="14" fillId="9" borderId="8" xfId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/>
    </xf>
    <xf numFmtId="0" fontId="11" fillId="0" borderId="52" xfId="1" applyFont="1" applyFill="1" applyBorder="1" applyAlignment="1">
      <alignment horizontal="center" vertical="center" wrapText="1"/>
    </xf>
    <xf numFmtId="0" fontId="0" fillId="0" borderId="53" xfId="0" applyBorder="1"/>
    <xf numFmtId="0" fontId="2" fillId="0" borderId="13" xfId="0" applyFont="1" applyBorder="1" applyAlignment="1">
      <alignment horizontal="center" vertical="center" wrapText="1"/>
    </xf>
    <xf numFmtId="0" fontId="11" fillId="0" borderId="10" xfId="1" applyFont="1" applyFill="1" applyBorder="1" applyAlignment="1">
      <alignment horizontal="center" vertical="center" wrapText="1"/>
    </xf>
    <xf numFmtId="0" fontId="16" fillId="9" borderId="14" xfId="1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5" fillId="0" borderId="57" xfId="1" applyFont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/>
    </xf>
    <xf numFmtId="0" fontId="14" fillId="8" borderId="57" xfId="1" applyFont="1" applyFill="1" applyBorder="1" applyAlignment="1">
      <alignment horizontal="center" vertical="center" wrapText="1"/>
    </xf>
    <xf numFmtId="0" fontId="11" fillId="0" borderId="57" xfId="1" applyFont="1" applyFill="1" applyBorder="1" applyAlignment="1">
      <alignment horizontal="center" vertical="center" wrapText="1"/>
    </xf>
    <xf numFmtId="0" fontId="11" fillId="0" borderId="58" xfId="1" applyFont="1" applyFill="1" applyBorder="1" applyAlignment="1">
      <alignment horizontal="center" vertical="center" wrapText="1"/>
    </xf>
    <xf numFmtId="0" fontId="11" fillId="0" borderId="56" xfId="1" applyFont="1" applyFill="1" applyBorder="1" applyAlignment="1">
      <alignment horizontal="center" vertical="center" wrapText="1"/>
    </xf>
    <xf numFmtId="0" fontId="16" fillId="9" borderId="57" xfId="1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1" fillId="0" borderId="59" xfId="1" applyFont="1" applyFill="1" applyBorder="1" applyAlignment="1">
      <alignment horizontal="center" vertical="center" wrapText="1"/>
    </xf>
    <xf numFmtId="0" fontId="11" fillId="0" borderId="60" xfId="1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0" fillId="0" borderId="54" xfId="0" applyBorder="1"/>
    <xf numFmtId="0" fontId="0" fillId="0" borderId="61" xfId="0" applyBorder="1"/>
    <xf numFmtId="0" fontId="2" fillId="0" borderId="61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7" fillId="3" borderId="62" xfId="0" applyFont="1" applyFill="1" applyBorder="1" applyAlignment="1">
      <alignment horizontal="center"/>
    </xf>
    <xf numFmtId="0" fontId="3" fillId="7" borderId="46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left" vertical="center" wrapText="1"/>
    </xf>
    <xf numFmtId="0" fontId="7" fillId="6" borderId="48" xfId="0" applyFont="1" applyFill="1" applyBorder="1" applyAlignment="1">
      <alignment horizontal="left" vertical="center" wrapText="1"/>
    </xf>
    <xf numFmtId="0" fontId="7" fillId="6" borderId="51" xfId="0" applyFont="1" applyFill="1" applyBorder="1" applyAlignment="1">
      <alignment horizontal="left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left" vertical="center" wrapText="1"/>
    </xf>
    <xf numFmtId="0" fontId="7" fillId="8" borderId="21" xfId="0" applyFont="1" applyFill="1" applyBorder="1" applyAlignment="1">
      <alignment horizontal="left" vertical="center" wrapText="1"/>
    </xf>
    <xf numFmtId="0" fontId="7" fillId="9" borderId="20" xfId="0" applyFont="1" applyFill="1" applyBorder="1" applyAlignment="1">
      <alignment horizontal="left" vertical="center" wrapText="1"/>
    </xf>
    <xf numFmtId="0" fontId="7" fillId="9" borderId="21" xfId="0" applyFont="1" applyFill="1" applyBorder="1" applyAlignment="1">
      <alignment horizontal="left" vertical="center" wrapText="1"/>
    </xf>
    <xf numFmtId="0" fontId="7" fillId="6" borderId="19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50" xfId="0" applyFont="1" applyFill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center" vertical="center" wrapText="1"/>
    </xf>
    <xf numFmtId="0" fontId="3" fillId="7" borderId="63" xfId="0" applyFont="1" applyFill="1" applyBorder="1" applyAlignment="1">
      <alignment horizontal="center" vertical="center" wrapText="1"/>
    </xf>
    <xf numFmtId="0" fontId="3" fillId="8" borderId="64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8" fillId="5" borderId="63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9" borderId="65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9" borderId="64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2" fillId="9" borderId="66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A3A3"/>
      <color rgb="FFABFFD1"/>
      <color rgb="FFFF99CC"/>
      <color rgb="FFE2CFF1"/>
      <color rgb="FFFF6969"/>
      <color rgb="FF01FF74"/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archive.org/details/spainoftodaynarr00shaw/page/n11/mode/2up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www.gutenberg.org/ebooks/40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sheetPr>
    <tabColor rgb="FFCBA9E5"/>
  </sheetPr>
  <dimension ref="A1:AK23"/>
  <sheetViews>
    <sheetView tabSelected="1" topLeftCell="C1" zoomScale="50" zoomScaleNormal="50" workbookViewId="0">
      <selection activeCell="J20" sqref="J20"/>
    </sheetView>
  </sheetViews>
  <sheetFormatPr baseColWidth="10" defaultColWidth="8.88671875" defaultRowHeight="15.6" x14ac:dyDescent="0.3"/>
  <cols>
    <col min="1" max="1" width="73.77734375" style="3" customWidth="1"/>
    <col min="2" max="2" width="90.44140625" style="3" customWidth="1"/>
    <col min="3" max="3" width="8.88671875" style="3"/>
    <col min="4" max="4" width="21.109375" style="3" customWidth="1"/>
    <col min="5" max="5" width="38.88671875" style="3" customWidth="1"/>
    <col min="6" max="7" width="20.6640625" style="3" customWidth="1"/>
    <col min="8" max="9" width="22.6640625" style="3" customWidth="1"/>
    <col min="10" max="12" width="24.21875" style="3" customWidth="1"/>
    <col min="13" max="13" width="21.77734375" style="3" customWidth="1"/>
    <col min="14" max="14" width="29.5546875" style="3" customWidth="1"/>
    <col min="15" max="15" width="30" style="3" customWidth="1"/>
    <col min="16" max="16" width="53.33203125" style="3" customWidth="1"/>
    <col min="17" max="17" width="38.88671875" style="3" customWidth="1"/>
    <col min="18" max="18" width="30.6640625" style="3" customWidth="1"/>
    <col min="19" max="19" width="25.5546875" style="3" customWidth="1"/>
    <col min="20" max="20" width="47.77734375" style="3" customWidth="1"/>
    <col min="21" max="16384" width="8.88671875" style="3"/>
  </cols>
  <sheetData>
    <row r="1" spans="1:27" ht="36.6" customHeight="1" thickBot="1" x14ac:dyDescent="0.35">
      <c r="A1" s="114" t="s">
        <v>65</v>
      </c>
      <c r="B1" s="114"/>
      <c r="C1" s="114"/>
      <c r="D1" s="115"/>
      <c r="E1" s="124" t="s">
        <v>61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  <c r="Q1" s="99" t="s">
        <v>60</v>
      </c>
      <c r="R1" s="100"/>
      <c r="S1" s="100"/>
      <c r="T1" s="101"/>
      <c r="U1" s="57"/>
      <c r="V1" s="56"/>
      <c r="W1" s="56"/>
      <c r="X1" s="56"/>
      <c r="Y1" s="56"/>
      <c r="Z1" s="56"/>
      <c r="AA1" s="56"/>
    </row>
    <row r="2" spans="1:27" ht="54" customHeight="1" thickTop="1" thickBot="1" x14ac:dyDescent="0.35">
      <c r="A2" s="129" t="s">
        <v>0</v>
      </c>
      <c r="B2" s="110" t="s">
        <v>1</v>
      </c>
      <c r="C2" s="110" t="s">
        <v>2</v>
      </c>
      <c r="D2" s="112" t="s">
        <v>3</v>
      </c>
      <c r="E2" s="102" t="s">
        <v>62</v>
      </c>
      <c r="F2" s="120" t="s">
        <v>37</v>
      </c>
      <c r="G2" s="121"/>
      <c r="H2" s="121"/>
      <c r="I2" s="116" t="s">
        <v>42</v>
      </c>
      <c r="J2" s="122" t="s">
        <v>38</v>
      </c>
      <c r="K2" s="123"/>
      <c r="L2" s="123"/>
      <c r="M2" s="123"/>
      <c r="N2" s="118" t="s">
        <v>52</v>
      </c>
      <c r="O2" s="119"/>
      <c r="P2" s="119"/>
      <c r="Q2" s="102" t="s">
        <v>71</v>
      </c>
      <c r="R2" s="104" t="s">
        <v>43</v>
      </c>
      <c r="S2" s="106" t="s">
        <v>48</v>
      </c>
      <c r="T2" s="108" t="s">
        <v>63</v>
      </c>
      <c r="U2" s="75"/>
      <c r="V2"/>
    </row>
    <row r="3" spans="1:27" ht="124.8" customHeight="1" thickTop="1" thickBot="1" x14ac:dyDescent="0.35">
      <c r="A3" s="130"/>
      <c r="B3" s="111"/>
      <c r="C3" s="111"/>
      <c r="D3" s="113"/>
      <c r="E3" s="103"/>
      <c r="F3" s="13" t="s">
        <v>40</v>
      </c>
      <c r="G3" s="23" t="s">
        <v>39</v>
      </c>
      <c r="H3" s="24" t="s">
        <v>41</v>
      </c>
      <c r="I3" s="117"/>
      <c r="J3" s="23" t="s">
        <v>46</v>
      </c>
      <c r="K3" s="13" t="s">
        <v>47</v>
      </c>
      <c r="L3" s="23" t="s">
        <v>44</v>
      </c>
      <c r="M3" s="13" t="s">
        <v>45</v>
      </c>
      <c r="N3" s="49" t="s">
        <v>50</v>
      </c>
      <c r="O3" s="50" t="s">
        <v>49</v>
      </c>
      <c r="P3" s="58" t="s">
        <v>63</v>
      </c>
      <c r="Q3" s="103"/>
      <c r="R3" s="105"/>
      <c r="S3" s="107"/>
      <c r="T3" s="109"/>
      <c r="U3" s="39"/>
      <c r="V3"/>
    </row>
    <row r="4" spans="1:27" ht="33" customHeight="1" thickTop="1" x14ac:dyDescent="0.5">
      <c r="A4" s="4" t="s">
        <v>4</v>
      </c>
      <c r="B4" s="5" t="s">
        <v>5</v>
      </c>
      <c r="C4" s="6">
        <v>1900</v>
      </c>
      <c r="D4" s="14" t="s">
        <v>6</v>
      </c>
      <c r="E4" s="15" t="s">
        <v>56</v>
      </c>
      <c r="F4" s="51">
        <v>1069</v>
      </c>
      <c r="G4" s="26">
        <v>1023</v>
      </c>
      <c r="H4" s="25">
        <v>869</v>
      </c>
      <c r="I4" s="40">
        <v>479</v>
      </c>
      <c r="J4" s="26">
        <v>634</v>
      </c>
      <c r="K4" s="62">
        <v>688</v>
      </c>
      <c r="L4" s="26">
        <v>489</v>
      </c>
      <c r="M4" s="25">
        <v>286</v>
      </c>
      <c r="N4" s="33">
        <f>SUM(F4:H4)</f>
        <v>2961</v>
      </c>
      <c r="O4" s="35">
        <f>SUM(J4:M4)</f>
        <v>2097</v>
      </c>
      <c r="P4" s="67">
        <f>N4-O4</f>
        <v>864</v>
      </c>
      <c r="Q4" s="15" t="s">
        <v>56</v>
      </c>
      <c r="R4" s="45">
        <v>2147</v>
      </c>
      <c r="S4" s="27">
        <v>1231</v>
      </c>
      <c r="T4" s="36">
        <f>R4-S4</f>
        <v>916</v>
      </c>
      <c r="U4" s="39"/>
      <c r="V4"/>
    </row>
    <row r="5" spans="1:27" ht="33.6" customHeight="1" x14ac:dyDescent="0.5">
      <c r="A5" s="7" t="s">
        <v>7</v>
      </c>
      <c r="B5" s="2" t="s">
        <v>8</v>
      </c>
      <c r="C5" s="1">
        <v>1902</v>
      </c>
      <c r="D5" s="16" t="s">
        <v>9</v>
      </c>
      <c r="E5" s="17" t="s">
        <v>53</v>
      </c>
      <c r="F5" s="52">
        <v>360</v>
      </c>
      <c r="G5" s="30">
        <v>259</v>
      </c>
      <c r="H5" s="28">
        <v>237</v>
      </c>
      <c r="I5" s="41">
        <v>125</v>
      </c>
      <c r="J5" s="61">
        <v>227</v>
      </c>
      <c r="K5" s="28">
        <v>205</v>
      </c>
      <c r="L5" s="30">
        <v>200</v>
      </c>
      <c r="M5" s="28">
        <v>133</v>
      </c>
      <c r="N5" s="33">
        <f t="shared" ref="N5:N18" si="0">SUM(F5:H5)</f>
        <v>856</v>
      </c>
      <c r="O5" s="35">
        <f t="shared" ref="O5:O18" si="1">SUM(J5:M5)</f>
        <v>765</v>
      </c>
      <c r="P5" s="68">
        <f>N5-O5</f>
        <v>91</v>
      </c>
      <c r="Q5" s="17" t="s">
        <v>53</v>
      </c>
      <c r="R5" s="46">
        <v>699</v>
      </c>
      <c r="S5" s="29">
        <v>424</v>
      </c>
      <c r="T5" s="68">
        <f>R5-S5</f>
        <v>275</v>
      </c>
      <c r="U5" s="39"/>
      <c r="V5"/>
    </row>
    <row r="6" spans="1:27" ht="30.6" customHeight="1" x14ac:dyDescent="0.5">
      <c r="A6" s="7" t="s">
        <v>10</v>
      </c>
      <c r="B6" s="2" t="s">
        <v>11</v>
      </c>
      <c r="C6" s="1">
        <v>1903</v>
      </c>
      <c r="D6" s="18" t="s">
        <v>6</v>
      </c>
      <c r="E6" s="17" t="s">
        <v>59</v>
      </c>
      <c r="F6" s="52">
        <v>519</v>
      </c>
      <c r="G6" s="30">
        <v>485</v>
      </c>
      <c r="H6" s="28">
        <v>425</v>
      </c>
      <c r="I6" s="41">
        <v>188</v>
      </c>
      <c r="J6" s="61">
        <v>265</v>
      </c>
      <c r="K6" s="28">
        <v>256</v>
      </c>
      <c r="L6" s="30">
        <v>203</v>
      </c>
      <c r="M6" s="28">
        <v>139</v>
      </c>
      <c r="N6" s="33">
        <f t="shared" si="0"/>
        <v>1429</v>
      </c>
      <c r="O6" s="35">
        <f t="shared" si="1"/>
        <v>863</v>
      </c>
      <c r="P6" s="37">
        <f t="shared" ref="P6:P18" si="2">N6-O6</f>
        <v>566</v>
      </c>
      <c r="Q6" s="17" t="s">
        <v>59</v>
      </c>
      <c r="R6" s="46">
        <v>1069</v>
      </c>
      <c r="S6" s="29">
        <v>497</v>
      </c>
      <c r="T6" s="37">
        <f t="shared" ref="T6:T19" si="3">R6-S6</f>
        <v>572</v>
      </c>
      <c r="U6" s="39"/>
      <c r="V6"/>
    </row>
    <row r="7" spans="1:27" ht="27.6" customHeight="1" x14ac:dyDescent="0.5">
      <c r="A7" s="7" t="s">
        <v>12</v>
      </c>
      <c r="B7" s="2" t="s">
        <v>13</v>
      </c>
      <c r="C7" s="1">
        <v>1904</v>
      </c>
      <c r="D7" s="18" t="s">
        <v>14</v>
      </c>
      <c r="E7" s="17" t="s">
        <v>68</v>
      </c>
      <c r="F7" s="52">
        <v>884</v>
      </c>
      <c r="G7" s="30">
        <v>643</v>
      </c>
      <c r="H7" s="28">
        <v>747</v>
      </c>
      <c r="I7" s="41">
        <v>397</v>
      </c>
      <c r="J7" s="61">
        <v>602</v>
      </c>
      <c r="K7" s="28">
        <v>471</v>
      </c>
      <c r="L7" s="30">
        <v>464</v>
      </c>
      <c r="M7" s="28">
        <v>195</v>
      </c>
      <c r="N7" s="33">
        <f t="shared" si="0"/>
        <v>2274</v>
      </c>
      <c r="O7" s="35">
        <f t="shared" si="1"/>
        <v>1732</v>
      </c>
      <c r="P7" s="37">
        <f t="shared" si="2"/>
        <v>542</v>
      </c>
      <c r="Q7" s="17" t="s">
        <v>68</v>
      </c>
      <c r="R7" s="46">
        <v>1581</v>
      </c>
      <c r="S7" s="29">
        <v>908</v>
      </c>
      <c r="T7" s="37">
        <f t="shared" si="3"/>
        <v>673</v>
      </c>
      <c r="U7" s="39"/>
      <c r="V7"/>
    </row>
    <row r="8" spans="1:27" s="95" customFormat="1" ht="34.799999999999997" customHeight="1" thickBot="1" x14ac:dyDescent="0.55000000000000004">
      <c r="A8" s="79" t="s">
        <v>15</v>
      </c>
      <c r="B8" s="80" t="s">
        <v>16</v>
      </c>
      <c r="C8" s="81">
        <v>1905</v>
      </c>
      <c r="D8" s="82" t="s">
        <v>6</v>
      </c>
      <c r="E8" s="83" t="s">
        <v>54</v>
      </c>
      <c r="F8" s="84">
        <v>1509</v>
      </c>
      <c r="G8" s="87">
        <v>1401</v>
      </c>
      <c r="H8" s="85">
        <v>1272</v>
      </c>
      <c r="I8" s="86">
        <v>675</v>
      </c>
      <c r="J8" s="87">
        <v>986</v>
      </c>
      <c r="K8" s="88">
        <v>1018</v>
      </c>
      <c r="L8" s="87">
        <v>802</v>
      </c>
      <c r="M8" s="85">
        <v>602</v>
      </c>
      <c r="N8" s="33">
        <f t="shared" si="0"/>
        <v>4182</v>
      </c>
      <c r="O8" s="35">
        <f t="shared" si="1"/>
        <v>3408</v>
      </c>
      <c r="P8" s="89">
        <f t="shared" si="2"/>
        <v>774</v>
      </c>
      <c r="Q8" s="83" t="s">
        <v>54</v>
      </c>
      <c r="R8" s="90">
        <v>2941</v>
      </c>
      <c r="S8" s="91">
        <v>1842</v>
      </c>
      <c r="T8" s="92">
        <f t="shared" si="3"/>
        <v>1099</v>
      </c>
      <c r="U8" s="93"/>
      <c r="V8" s="94"/>
    </row>
    <row r="9" spans="1:27" ht="31.2" customHeight="1" thickTop="1" x14ac:dyDescent="0.5">
      <c r="A9" s="11" t="s">
        <v>10</v>
      </c>
      <c r="B9" s="12" t="s">
        <v>17</v>
      </c>
      <c r="C9" s="11">
        <v>1908</v>
      </c>
      <c r="D9" s="20" t="s">
        <v>6</v>
      </c>
      <c r="E9" s="73" t="s">
        <v>59</v>
      </c>
      <c r="F9" s="54">
        <v>1274</v>
      </c>
      <c r="G9" s="77">
        <v>899</v>
      </c>
      <c r="H9" s="32">
        <v>887</v>
      </c>
      <c r="I9" s="44">
        <v>397</v>
      </c>
      <c r="J9" s="63">
        <v>763</v>
      </c>
      <c r="K9" s="32">
        <v>660</v>
      </c>
      <c r="L9" s="77">
        <v>525</v>
      </c>
      <c r="M9" s="32">
        <v>336</v>
      </c>
      <c r="N9" s="33">
        <f t="shared" si="0"/>
        <v>3060</v>
      </c>
      <c r="O9" s="35">
        <f t="shared" si="1"/>
        <v>2284</v>
      </c>
      <c r="P9" s="43">
        <f t="shared" si="2"/>
        <v>776</v>
      </c>
      <c r="Q9" s="73" t="s">
        <v>59</v>
      </c>
      <c r="R9" s="47">
        <v>2361</v>
      </c>
      <c r="S9" s="74">
        <v>1170</v>
      </c>
      <c r="T9" s="71">
        <f t="shared" si="3"/>
        <v>1191</v>
      </c>
      <c r="U9" s="39"/>
      <c r="V9"/>
    </row>
    <row r="10" spans="1:27" ht="31.2" customHeight="1" x14ac:dyDescent="0.5">
      <c r="A10" s="1" t="s">
        <v>18</v>
      </c>
      <c r="B10" s="2" t="s">
        <v>19</v>
      </c>
      <c r="C10" s="1">
        <v>1908</v>
      </c>
      <c r="D10" s="18" t="s">
        <v>14</v>
      </c>
      <c r="E10" s="17" t="s">
        <v>57</v>
      </c>
      <c r="F10" s="52">
        <v>1347</v>
      </c>
      <c r="G10" s="30">
        <v>1122</v>
      </c>
      <c r="H10" s="28">
        <v>1003</v>
      </c>
      <c r="I10" s="41">
        <v>494</v>
      </c>
      <c r="J10" s="30">
        <v>542</v>
      </c>
      <c r="K10" s="64">
        <v>711</v>
      </c>
      <c r="L10" s="30">
        <v>500</v>
      </c>
      <c r="M10" s="28">
        <v>370</v>
      </c>
      <c r="N10" s="33">
        <f t="shared" si="0"/>
        <v>3472</v>
      </c>
      <c r="O10" s="35">
        <f t="shared" si="1"/>
        <v>2123</v>
      </c>
      <c r="P10" s="69">
        <f t="shared" si="2"/>
        <v>1349</v>
      </c>
      <c r="Q10" s="17" t="s">
        <v>57</v>
      </c>
      <c r="R10" s="46">
        <v>2284</v>
      </c>
      <c r="S10" s="29">
        <v>1194</v>
      </c>
      <c r="T10" s="69">
        <f t="shared" si="3"/>
        <v>1090</v>
      </c>
      <c r="U10" s="39"/>
      <c r="V10"/>
    </row>
    <row r="11" spans="1:27" ht="29.4" customHeight="1" x14ac:dyDescent="0.5">
      <c r="A11" s="1" t="s">
        <v>22</v>
      </c>
      <c r="B11" s="2" t="s">
        <v>23</v>
      </c>
      <c r="C11" s="1">
        <v>1909</v>
      </c>
      <c r="D11" s="34" t="s">
        <v>14</v>
      </c>
      <c r="E11" s="17"/>
      <c r="F11" s="52">
        <v>428</v>
      </c>
      <c r="G11" s="30">
        <v>339</v>
      </c>
      <c r="H11" s="28">
        <v>289</v>
      </c>
      <c r="I11" s="41">
        <v>151</v>
      </c>
      <c r="J11" s="61">
        <v>190</v>
      </c>
      <c r="K11" s="28">
        <v>164</v>
      </c>
      <c r="L11" s="30">
        <v>141</v>
      </c>
      <c r="M11" s="28">
        <v>89</v>
      </c>
      <c r="N11" s="33">
        <f t="shared" si="0"/>
        <v>1056</v>
      </c>
      <c r="O11" s="35">
        <f t="shared" si="1"/>
        <v>584</v>
      </c>
      <c r="P11" s="37">
        <f t="shared" si="2"/>
        <v>472</v>
      </c>
      <c r="Q11" s="17"/>
      <c r="R11" s="46">
        <v>831</v>
      </c>
      <c r="S11" s="29">
        <v>343</v>
      </c>
      <c r="T11" s="37">
        <f t="shared" si="3"/>
        <v>488</v>
      </c>
      <c r="U11" s="39"/>
      <c r="V11"/>
    </row>
    <row r="12" spans="1:27" ht="30.6" customHeight="1" x14ac:dyDescent="0.5">
      <c r="A12" s="1" t="s">
        <v>20</v>
      </c>
      <c r="B12" s="2" t="s">
        <v>21</v>
      </c>
      <c r="C12" s="1">
        <v>1909</v>
      </c>
      <c r="D12" s="34" t="s">
        <v>6</v>
      </c>
      <c r="E12" s="17" t="s">
        <v>56</v>
      </c>
      <c r="F12" s="52">
        <v>383</v>
      </c>
      <c r="G12" s="30">
        <v>296</v>
      </c>
      <c r="H12" s="28">
        <v>275</v>
      </c>
      <c r="I12" s="41">
        <v>140</v>
      </c>
      <c r="J12" s="61">
        <v>244</v>
      </c>
      <c r="K12" s="28">
        <v>184</v>
      </c>
      <c r="L12" s="30">
        <v>171</v>
      </c>
      <c r="M12" s="28">
        <v>115</v>
      </c>
      <c r="N12" s="33">
        <f t="shared" si="0"/>
        <v>954</v>
      </c>
      <c r="O12" s="35">
        <f t="shared" si="1"/>
        <v>714</v>
      </c>
      <c r="P12" s="37">
        <f t="shared" si="2"/>
        <v>240</v>
      </c>
      <c r="Q12" s="17" t="s">
        <v>55</v>
      </c>
      <c r="R12" s="46">
        <v>684</v>
      </c>
      <c r="S12" s="29">
        <v>357</v>
      </c>
      <c r="T12" s="37">
        <f t="shared" si="3"/>
        <v>327</v>
      </c>
      <c r="U12" s="39"/>
      <c r="V12"/>
    </row>
    <row r="13" spans="1:27" ht="29.4" customHeight="1" x14ac:dyDescent="0.5">
      <c r="A13" s="1" t="s">
        <v>24</v>
      </c>
      <c r="B13" s="2" t="s">
        <v>25</v>
      </c>
      <c r="C13" s="1">
        <v>1910</v>
      </c>
      <c r="D13" s="18" t="s">
        <v>6</v>
      </c>
      <c r="E13" s="17" t="s">
        <v>58</v>
      </c>
      <c r="F13" s="55">
        <v>1360</v>
      </c>
      <c r="G13" s="30">
        <v>936</v>
      </c>
      <c r="H13" s="28">
        <v>1246</v>
      </c>
      <c r="I13" s="41">
        <v>815</v>
      </c>
      <c r="J13" s="65">
        <v>1393</v>
      </c>
      <c r="K13" s="28">
        <v>1014</v>
      </c>
      <c r="L13" s="30">
        <v>932</v>
      </c>
      <c r="M13" s="28">
        <v>545</v>
      </c>
      <c r="N13" s="33">
        <f t="shared" si="0"/>
        <v>3542</v>
      </c>
      <c r="O13" s="35">
        <f t="shared" si="1"/>
        <v>3884</v>
      </c>
      <c r="P13" s="59">
        <f t="shared" si="2"/>
        <v>-342</v>
      </c>
      <c r="Q13" s="17" t="s">
        <v>56</v>
      </c>
      <c r="R13" s="46">
        <v>2557</v>
      </c>
      <c r="S13" s="29">
        <v>2368</v>
      </c>
      <c r="T13" s="59">
        <f t="shared" si="3"/>
        <v>189</v>
      </c>
      <c r="U13" s="39"/>
      <c r="V13"/>
    </row>
    <row r="14" spans="1:27" s="95" customFormat="1" ht="31.2" customHeight="1" thickBot="1" x14ac:dyDescent="0.55000000000000004">
      <c r="A14" s="96" t="s">
        <v>26</v>
      </c>
      <c r="B14" s="80" t="s">
        <v>27</v>
      </c>
      <c r="C14" s="81">
        <v>1910</v>
      </c>
      <c r="D14" s="82" t="s">
        <v>28</v>
      </c>
      <c r="E14" s="97" t="s">
        <v>64</v>
      </c>
      <c r="F14" s="84">
        <v>526</v>
      </c>
      <c r="G14" s="87">
        <v>496</v>
      </c>
      <c r="H14" s="85">
        <v>408</v>
      </c>
      <c r="I14" s="86">
        <v>185</v>
      </c>
      <c r="J14" s="87">
        <v>262</v>
      </c>
      <c r="K14" s="88">
        <v>289</v>
      </c>
      <c r="L14" s="87">
        <v>192</v>
      </c>
      <c r="M14" s="85">
        <v>127</v>
      </c>
      <c r="N14" s="33">
        <f t="shared" si="0"/>
        <v>1430</v>
      </c>
      <c r="O14" s="35">
        <f t="shared" si="1"/>
        <v>870</v>
      </c>
      <c r="P14" s="89">
        <f t="shared" si="2"/>
        <v>560</v>
      </c>
      <c r="Q14" s="97" t="s">
        <v>57</v>
      </c>
      <c r="R14" s="90">
        <v>989</v>
      </c>
      <c r="S14" s="91">
        <v>472</v>
      </c>
      <c r="T14" s="89">
        <f t="shared" si="3"/>
        <v>517</v>
      </c>
      <c r="U14" s="93"/>
      <c r="V14" s="94"/>
    </row>
    <row r="15" spans="1:27" ht="28.8" customHeight="1" thickTop="1" x14ac:dyDescent="0.5">
      <c r="A15" s="76" t="s">
        <v>29</v>
      </c>
      <c r="B15" s="11" t="s">
        <v>30</v>
      </c>
      <c r="C15" s="11">
        <v>1911</v>
      </c>
      <c r="D15" s="20" t="s">
        <v>6</v>
      </c>
      <c r="E15" s="73" t="s">
        <v>56</v>
      </c>
      <c r="F15" s="54">
        <v>625</v>
      </c>
      <c r="G15" s="77">
        <v>399</v>
      </c>
      <c r="H15" s="32">
        <v>471</v>
      </c>
      <c r="I15" s="44">
        <v>265</v>
      </c>
      <c r="J15" s="77">
        <v>387</v>
      </c>
      <c r="K15" s="78">
        <v>408</v>
      </c>
      <c r="L15" s="77">
        <v>309</v>
      </c>
      <c r="M15" s="32">
        <v>199</v>
      </c>
      <c r="N15" s="33">
        <f t="shared" si="0"/>
        <v>1495</v>
      </c>
      <c r="O15" s="35">
        <f t="shared" si="1"/>
        <v>1303</v>
      </c>
      <c r="P15" s="43">
        <f t="shared" si="2"/>
        <v>192</v>
      </c>
      <c r="Q15" s="73" t="s">
        <v>56</v>
      </c>
      <c r="R15" s="47">
        <v>1166</v>
      </c>
      <c r="S15" s="74">
        <v>877</v>
      </c>
      <c r="T15" s="70">
        <f t="shared" si="3"/>
        <v>289</v>
      </c>
      <c r="U15" s="39"/>
      <c r="V15"/>
    </row>
    <row r="16" spans="1:27" ht="27" customHeight="1" x14ac:dyDescent="0.5">
      <c r="A16" s="7" t="s">
        <v>31</v>
      </c>
      <c r="B16" s="2" t="s">
        <v>32</v>
      </c>
      <c r="C16" s="1">
        <v>1912</v>
      </c>
      <c r="D16" s="18" t="s">
        <v>6</v>
      </c>
      <c r="E16" s="17" t="s">
        <v>68</v>
      </c>
      <c r="F16" s="28">
        <v>447</v>
      </c>
      <c r="G16" s="132">
        <v>531</v>
      </c>
      <c r="H16" s="28">
        <v>384</v>
      </c>
      <c r="I16" s="41">
        <v>185</v>
      </c>
      <c r="J16" s="30">
        <v>218</v>
      </c>
      <c r="K16" s="28">
        <v>201</v>
      </c>
      <c r="L16" s="30">
        <v>137</v>
      </c>
      <c r="M16" s="66">
        <v>777</v>
      </c>
      <c r="N16" s="33">
        <f t="shared" si="0"/>
        <v>1362</v>
      </c>
      <c r="O16" s="35">
        <f t="shared" si="1"/>
        <v>1333</v>
      </c>
      <c r="P16" s="68">
        <f t="shared" si="2"/>
        <v>29</v>
      </c>
      <c r="Q16" s="17" t="s">
        <v>67</v>
      </c>
      <c r="R16" s="46">
        <v>965</v>
      </c>
      <c r="S16" s="29">
        <v>365</v>
      </c>
      <c r="T16" s="37">
        <f t="shared" si="3"/>
        <v>600</v>
      </c>
      <c r="U16" s="39"/>
      <c r="V16"/>
    </row>
    <row r="17" spans="1:37" ht="31.8" customHeight="1" x14ac:dyDescent="0.5">
      <c r="A17" s="7" t="s">
        <v>33</v>
      </c>
      <c r="B17" s="2" t="s">
        <v>34</v>
      </c>
      <c r="C17" s="1">
        <v>1913</v>
      </c>
      <c r="D17" s="18" t="s">
        <v>6</v>
      </c>
      <c r="E17" s="17" t="s">
        <v>54</v>
      </c>
      <c r="F17" s="52">
        <v>1536</v>
      </c>
      <c r="G17" s="30">
        <v>1180</v>
      </c>
      <c r="H17" s="28">
        <v>1181</v>
      </c>
      <c r="I17" s="41">
        <v>556</v>
      </c>
      <c r="J17" s="30">
        <v>676</v>
      </c>
      <c r="K17" s="64">
        <v>747</v>
      </c>
      <c r="L17" s="30">
        <v>513</v>
      </c>
      <c r="M17" s="28">
        <v>408</v>
      </c>
      <c r="N17" s="33">
        <f t="shared" si="0"/>
        <v>3897</v>
      </c>
      <c r="O17" s="35">
        <f t="shared" si="1"/>
        <v>2344</v>
      </c>
      <c r="P17" s="60">
        <f t="shared" si="2"/>
        <v>1553</v>
      </c>
      <c r="Q17" s="17" t="s">
        <v>69</v>
      </c>
      <c r="R17" s="46">
        <v>2641</v>
      </c>
      <c r="S17" s="29">
        <v>1313</v>
      </c>
      <c r="T17" s="60">
        <f t="shared" si="3"/>
        <v>1328</v>
      </c>
      <c r="U17" s="39"/>
      <c r="V17"/>
    </row>
    <row r="18" spans="1:37" ht="34.799999999999997" customHeight="1" thickBot="1" x14ac:dyDescent="0.55000000000000004">
      <c r="A18" s="8" t="s">
        <v>35</v>
      </c>
      <c r="B18" s="9" t="s">
        <v>36</v>
      </c>
      <c r="C18" s="10">
        <v>1914</v>
      </c>
      <c r="D18" s="19" t="s">
        <v>14</v>
      </c>
      <c r="E18" s="21" t="s">
        <v>70</v>
      </c>
      <c r="F18" s="53">
        <v>541</v>
      </c>
      <c r="G18" s="131">
        <v>372</v>
      </c>
      <c r="H18" s="31">
        <v>461</v>
      </c>
      <c r="I18" s="42">
        <v>209</v>
      </c>
      <c r="J18" s="72">
        <v>354</v>
      </c>
      <c r="K18" s="31">
        <v>305</v>
      </c>
      <c r="L18" s="131">
        <v>275</v>
      </c>
      <c r="M18" s="31">
        <v>176</v>
      </c>
      <c r="N18" s="33">
        <f t="shared" si="0"/>
        <v>1374</v>
      </c>
      <c r="O18" s="35">
        <f t="shared" si="1"/>
        <v>1110</v>
      </c>
      <c r="P18" s="38">
        <f t="shared" si="2"/>
        <v>264</v>
      </c>
      <c r="Q18" s="21" t="s">
        <v>66</v>
      </c>
      <c r="R18" s="37">
        <v>987</v>
      </c>
      <c r="S18" s="48">
        <v>594</v>
      </c>
      <c r="T18" s="38">
        <f t="shared" si="3"/>
        <v>393</v>
      </c>
      <c r="U18" s="39"/>
      <c r="V18"/>
    </row>
    <row r="19" spans="1:37" s="22" customFormat="1" ht="52.8" customHeight="1" thickTop="1" thickBot="1" x14ac:dyDescent="0.35">
      <c r="A19" s="127"/>
      <c r="B19" s="127"/>
      <c r="C19" s="127"/>
      <c r="D19" s="128"/>
      <c r="E19" s="133" t="s">
        <v>72</v>
      </c>
      <c r="F19" s="134">
        <f>SUM(F4:F18)</f>
        <v>12808</v>
      </c>
      <c r="G19" s="135">
        <f>SUM(G4:G18)</f>
        <v>10381</v>
      </c>
      <c r="H19" s="136">
        <f t="shared" ref="H19:I19" si="4">SUM(H4:H18)</f>
        <v>10155</v>
      </c>
      <c r="I19" s="137">
        <f t="shared" si="4"/>
        <v>5261</v>
      </c>
      <c r="J19" s="138">
        <f>SUM(J4:J18)</f>
        <v>7743</v>
      </c>
      <c r="K19" s="136">
        <f>SUM(K4:K18)</f>
        <v>7321</v>
      </c>
      <c r="L19" s="135">
        <f>SUM(L4:L18)</f>
        <v>5853</v>
      </c>
      <c r="M19" s="136">
        <f t="shared" ref="M19:O19" si="5">SUM(M4:M18)</f>
        <v>4497</v>
      </c>
      <c r="N19" s="139">
        <f t="shared" si="5"/>
        <v>33344</v>
      </c>
      <c r="O19" s="144">
        <f t="shared" si="5"/>
        <v>25414</v>
      </c>
      <c r="P19" s="145">
        <v>1553</v>
      </c>
      <c r="Q19" s="98" t="s">
        <v>51</v>
      </c>
      <c r="R19" s="139">
        <f>SUM(R4:R18)</f>
        <v>23902</v>
      </c>
      <c r="S19" s="140">
        <f>SUM(S4:S18)</f>
        <v>13955</v>
      </c>
      <c r="T19" s="147">
        <f t="shared" si="3"/>
        <v>9947</v>
      </c>
      <c r="U19" s="39"/>
      <c r="V19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43.2" customHeight="1" thickTop="1" thickBot="1" x14ac:dyDescent="0.35">
      <c r="E20" s="141" t="s">
        <v>73</v>
      </c>
      <c r="F20" s="151">
        <v>854</v>
      </c>
      <c r="G20" s="135">
        <v>692</v>
      </c>
      <c r="H20" s="136">
        <v>677</v>
      </c>
      <c r="I20" s="143">
        <v>351</v>
      </c>
      <c r="J20" s="152">
        <v>516</v>
      </c>
      <c r="K20" s="135">
        <v>488</v>
      </c>
      <c r="L20" s="135">
        <v>390</v>
      </c>
      <c r="M20" s="136">
        <v>300</v>
      </c>
      <c r="N20" s="142">
        <v>2223</v>
      </c>
      <c r="O20" s="136">
        <v>1694</v>
      </c>
      <c r="P20" s="146"/>
      <c r="Q20" s="133" t="s">
        <v>73</v>
      </c>
      <c r="R20" s="148">
        <v>1593</v>
      </c>
      <c r="S20" s="150">
        <v>931</v>
      </c>
      <c r="T20" s="149"/>
    </row>
    <row r="21" spans="1:37" ht="15.6" customHeight="1" thickTop="1" x14ac:dyDescent="0.3"/>
    <row r="22" spans="1:37" ht="15.6" customHeight="1" x14ac:dyDescent="0.3"/>
    <row r="23" spans="1:37" ht="15.6" customHeight="1" x14ac:dyDescent="0.3"/>
  </sheetData>
  <mergeCells count="17">
    <mergeCell ref="A19:D19"/>
    <mergeCell ref="A2:A3"/>
    <mergeCell ref="N2:P2"/>
    <mergeCell ref="F2:H2"/>
    <mergeCell ref="J2:M2"/>
    <mergeCell ref="E2:E3"/>
    <mergeCell ref="E1:P1"/>
    <mergeCell ref="B2:B3"/>
    <mergeCell ref="C2:C3"/>
    <mergeCell ref="D2:D3"/>
    <mergeCell ref="A1:D1"/>
    <mergeCell ref="I2:I3"/>
    <mergeCell ref="Q1:T1"/>
    <mergeCell ref="Q2:Q3"/>
    <mergeCell ref="R2:R3"/>
    <mergeCell ref="S2:S3"/>
    <mergeCell ref="T2:T3"/>
  </mergeCells>
  <conditionalFormatting sqref="A4:A10 A13 A15:A18">
    <cfRule type="colorScale" priority="3">
      <colorScale>
        <cfvo type="min"/>
        <cfvo type="max"/>
        <color rgb="FF63BE7B"/>
        <color rgb="FFFCFCFF"/>
      </colorScale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{D0841FF9-F694-4B2D-B832-22D4094EE3E5}</x14:id>
        </ext>
      </extLst>
    </cfRule>
  </conditionalFormatting>
  <conditionalFormatting sqref="A12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{13EE6689-EDB5-4FF7-A3BC-6B9FB0D7F5D9}</x14:id>
        </ext>
      </extLst>
    </cfRule>
  </conditionalFormatting>
  <hyperlinks>
    <hyperlink ref="D18" r:id="rId1" display="https://archive.org/details/throughspainreco00dickrich/page/n13/mode/2up" xr:uid="{CCB67ACE-A204-43FB-8444-5AA93CE4A605}"/>
    <hyperlink ref="D17" r:id="rId2" display="https://www.gutenberg.org/ebooks/7430" xr:uid="{804E9899-3BD1-4C3D-9B4A-56B4F0ABA281}"/>
    <hyperlink ref="D16" r:id="rId3" display="https://www.gutenberg.org/ebooks/40201" xr:uid="{5A473937-3670-439C-ACE0-CE7DE6666767}"/>
    <hyperlink ref="D10" r:id="rId4" display="https://archive.org/details/sunshadowinspain00elliuoft" xr:uid="{8EDCB93E-440D-403D-91EB-51C2E5F74AF1}"/>
    <hyperlink ref="D8" r:id="rId5" display="https://www.gutenberg.org/ebooks/27252" xr:uid="{6383E9F9-2170-41E5-8E89-361C155ECE58}"/>
    <hyperlink ref="D7" r:id="rId6" display="https://archive.org/details/atrampinspain00unkngoog/page/n8/mode/2up" xr:uid="{53C0910F-D4AB-4EA1-A7AF-FAFB43449F0A}"/>
    <hyperlink ref="D6" r:id="rId7" display="https://www.gutenberg.org/ebooks/59944" xr:uid="{D24C30E7-3DAA-4116-B9D7-330A4E10D6B1}"/>
    <hyperlink ref="D4" r:id="rId8" display="https://www.gutenberg.org/ebooks/38767" xr:uid="{FC69E107-929A-479D-B735-1F00E9273D1C}"/>
    <hyperlink ref="D9" r:id="rId9" display="https://www.gutenberg.org/ebooks/37944" xr:uid="{FF038137-CFBD-464F-A93D-CD194A12CC4A}"/>
    <hyperlink ref="D13" r:id="rId10" display="https://www.gutenberg.org/ebooks/41593" xr:uid="{91F81F8B-D9E1-40D0-908D-8025A0B82C0D}"/>
    <hyperlink ref="D5" r:id="rId11" display="https://archive.org/details/landofdons00will/page/n19/mode/2up" xr:uid="{8C7D4EE3-8624-491C-AC11-0E5C0E4F2F1C}"/>
    <hyperlink ref="D15" r:id="rId12" display="https://www.gutenberg.org/ebooks/40357" xr:uid="{5F39D78D-45D0-4705-9976-B8E100D7CBCA}"/>
    <hyperlink ref="D14" r:id="rId13" display="https://www.gutenberg.org/ebooks/author/39917" xr:uid="{5B0FC47C-BF37-4F7D-B3D4-6C59B47A37C0}"/>
    <hyperlink ref="D12" r:id="rId14" display="https://www.gutenberg.org/ebooks/40356" xr:uid="{E5F77081-7D30-4E9F-A587-4BC74DF2BBA6}"/>
    <hyperlink ref="D11" r:id="rId15" display="https://archive.org/details/spainoftodaynarr00shaw/page/n11/mode/2up" xr:uid="{87F05951-C5FF-4FDF-8FF3-817A775A4043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41FF9-F694-4B2D-B832-22D4094EE3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A4:A10 A13 A15:A18</xm:sqref>
        </x14:conditionalFormatting>
        <x14:conditionalFormatting xmlns:xm="http://schemas.microsoft.com/office/excel/2006/main">
          <x14:cfRule type="dataBar" id="{13EE6689-EDB5-4FF7-A3BC-6B9FB0D7F5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EMOCIONES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2026-05-23T21:48:04Z</dcterms:modified>
</cp:coreProperties>
</file>